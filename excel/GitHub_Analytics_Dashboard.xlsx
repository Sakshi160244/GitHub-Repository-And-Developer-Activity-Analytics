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86bbfc94f5c3458/Desktop/streams/GitHub-Developer-Activity-Analytics/excel/"/>
    </mc:Choice>
  </mc:AlternateContent>
  <xr:revisionPtr revIDLastSave="971" documentId="8_{4601A439-28F0-4FEE-9E33-90FC57A7151C}" xr6:coauthVersionLast="47" xr6:coauthVersionMax="47" xr10:uidLastSave="{A971697E-BE4A-43EB-BC29-8EF2D77E3827}"/>
  <bookViews>
    <workbookView xWindow="12" yWindow="12" windowWidth="23016" windowHeight="12216" xr2:uid="{A9863FB8-F640-4B3E-83D0-DD1064B49200}"/>
  </bookViews>
  <sheets>
    <sheet name="Dashboard" sheetId="3" r:id="rId1"/>
    <sheet name="Pivot Analysis" sheetId="5" r:id="rId2"/>
    <sheet name="Top Repositories" sheetId="1" r:id="rId3"/>
    <sheet name="My Repositories" sheetId="2" r:id="rId4"/>
  </sheets>
  <definedNames>
    <definedName name="ExternalData_1" localSheetId="3" hidden="1">'My Repositories'!$A$1:$AE$16</definedName>
    <definedName name="ExternalData_1" localSheetId="2" hidden="1">'Top Repositories'!$A$1:$AQ$101</definedName>
    <definedName name="Slicer_activity_status">#N/A</definedName>
    <definedName name="Slicer_has_license">#N/A</definedName>
    <definedName name="Slicer_primary_language">#N/A</definedName>
  </definedNames>
  <calcPr calcId="191029"/>
  <pivotCaches>
    <pivotCache cacheId="8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3" l="1"/>
  <c r="G5" i="3"/>
  <c r="D5" i="3"/>
  <c r="A5" i="3"/>
  <c r="A9" i="3"/>
  <c r="D9" i="3" l="1"/>
  <c r="J9" i="3"/>
  <c r="G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56EB4-FFCD-48E8-BE1A-39C087A11CDB}" keepAlive="1" name="Query - cleaned_github_repositories" description="Connection to the 'cleaned_github_repositories' query in the workbook." type="5" refreshedVersion="8" background="1" saveData="1">
    <dbPr connection="Provider=Microsoft.Mashup.OleDb.1;Data Source=$Workbook$;Location=cleaned_github_repositories;Extended Properties=&quot;&quot;" command="SELECT * FROM [cleaned_github_repositories]"/>
  </connection>
  <connection id="2" xr16:uid="{21C42343-E234-4642-925B-C18F77070E0A}" keepAlive="1" name="Query - cleaned_top_repositories" description="Connection to the 'cleaned_top_repositories' query in the workbook." type="5" refreshedVersion="8" background="1" saveData="1">
    <dbPr connection="Provider=Microsoft.Mashup.OleDb.1;Data Source=$Workbook$;Location=cleaned_top_repositories;Extended Properties=&quot;&quot;" command="SELECT * FROM [cleaned_top_repositories]"/>
  </connection>
</connections>
</file>

<file path=xl/sharedStrings.xml><?xml version="1.0" encoding="utf-8"?>
<sst xmlns="http://schemas.openxmlformats.org/spreadsheetml/2006/main" count="2111" uniqueCount="833">
  <si>
    <t>repository_id</t>
  </si>
  <si>
    <t>repository_name</t>
  </si>
  <si>
    <t>full_name</t>
  </si>
  <si>
    <t>repository_url</t>
  </si>
  <si>
    <t>description</t>
  </si>
  <si>
    <t>primary_language</t>
  </si>
  <si>
    <t>created_at</t>
  </si>
  <si>
    <t>updated_at</t>
  </si>
  <si>
    <t>pushed_at</t>
  </si>
  <si>
    <t>size_kb</t>
  </si>
  <si>
    <t>stars_count</t>
  </si>
  <si>
    <t>watchers_count</t>
  </si>
  <si>
    <t>forks_count</t>
  </si>
  <si>
    <t>open_issues_count</t>
  </si>
  <si>
    <t>default_branch</t>
  </si>
  <si>
    <t>is_fork</t>
  </si>
  <si>
    <t>is_archived</t>
  </si>
  <si>
    <t>is_disabled</t>
  </si>
  <si>
    <t>visibility</t>
  </si>
  <si>
    <t>repository_age_days</t>
  </si>
  <si>
    <t>days_since_update</t>
  </si>
  <si>
    <t>created_year</t>
  </si>
  <si>
    <t>created_month</t>
  </si>
  <si>
    <t>updated_year</t>
  </si>
  <si>
    <t>size_mb</t>
  </si>
  <si>
    <t>repository_type</t>
  </si>
  <si>
    <t>has_description</t>
  </si>
  <si>
    <t>activity_status</t>
  </si>
  <si>
    <t>popularity_score</t>
  </si>
  <si>
    <t>HR-Analytics-Employee-Attrition</t>
  </si>
  <si>
    <t>Sakshi160244/HR-Analytics-Employee-Attrition</t>
  </si>
  <si>
    <t>https://github.com/Sakshi160244/HR-Analytics-Employee-Attrition</t>
  </si>
  <si>
    <t>No Description</t>
  </si>
  <si>
    <t>Python</t>
  </si>
  <si>
    <t>main</t>
  </si>
  <si>
    <t>public</t>
  </si>
  <si>
    <t>September</t>
  </si>
  <si>
    <t>Original</t>
  </si>
  <si>
    <t>No</t>
  </si>
  <si>
    <t>Active</t>
  </si>
  <si>
    <t>E-Commerce-Sales-Analysis-Dashboard</t>
  </si>
  <si>
    <t>Sakshi160244/E-Commerce-Sales-Analysis-Dashboard</t>
  </si>
  <si>
    <t>https://github.com/Sakshi160244/E-Commerce-Sales-Analysis-Dashboard</t>
  </si>
  <si>
    <t>E-Commerce-Sales-Data-Analysis</t>
  </si>
  <si>
    <t>Sakshi160244/E-Commerce-Sales-Data-Analysis</t>
  </si>
  <si>
    <t>https://github.com/Sakshi160244/E-Commerce-Sales-Data-Analysis</t>
  </si>
  <si>
    <t>E-commerce sales data analysis project using Python, SQL, NumPy, Pandas and Matplotlib.</t>
  </si>
  <si>
    <t>August</t>
  </si>
  <si>
    <t>Yes</t>
  </si>
  <si>
    <t>Sakshi160244</t>
  </si>
  <si>
    <t>Sakshi160244/Sakshi160244</t>
  </si>
  <si>
    <t>https://github.com/Sakshi160244/Sakshi160244</t>
  </si>
  <si>
    <t>Aspiring Data Analyst skilled in SQL, Python, Excel, Power BI, NumPy, Pandas and Data Visualization.</t>
  </si>
  <si>
    <t>Not Specified</t>
  </si>
  <si>
    <t>July</t>
  </si>
  <si>
    <t>sakship_sql_analytics_practice.py</t>
  </si>
  <si>
    <t>Sakshi160244/sakship_sql_analytics_practice.py</t>
  </si>
  <si>
    <t>https://github.com/Sakshi160244/sakship_sql_analytics_practice.py</t>
  </si>
  <si>
    <t>SQL and Python practice for Data Analytics covering queries, joins, subqueries, CTEs, CASE statements and window functions.</t>
  </si>
  <si>
    <t>python</t>
  </si>
  <si>
    <t>Sakshi160244/python</t>
  </si>
  <si>
    <t>https://github.com/Sakshi160244/python</t>
  </si>
  <si>
    <t>Employee-Attendance-Management-System-</t>
  </si>
  <si>
    <t>Sakshi160244/Employee-Attendance-Management-System-</t>
  </si>
  <si>
    <t>https://github.com/Sakshi160244/Employee-Attendance-Management-System-</t>
  </si>
  <si>
    <t>Employee Attendance Management System is a Python project that records employees' check-in and check-out times to determine attendance status such as Present, Absent, Overtime, Half Day, or Short Day. It processes multiple records, counts each attendance type, and displays a summary report using loops and conditional statements.</t>
  </si>
  <si>
    <t>python-grading-system</t>
  </si>
  <si>
    <t>Sakshi160244/python-grading-system</t>
  </si>
  <si>
    <t>https://github.com/Sakshi160244/python-grading-system</t>
  </si>
  <si>
    <t>A Python-based Student Grade Calculator that evaluates marks and assigns grades using predefined criteria. The application validates user input, handles invalid entries with exception handling, and demonstrates functions, conditional statements, input validation, and error handling.</t>
  </si>
  <si>
    <t>python-calculator</t>
  </si>
  <si>
    <t>Sakshi160244/python-calculator</t>
  </si>
  <si>
    <t>https://github.com/Sakshi160244/python-calculator</t>
  </si>
  <si>
    <t>A Python-based calculator that performs addition, subtraction, multiplication, and division using functions. The application includes exception handling to manage invalid inputs and division by zero, demonstrating functions, conditional statements, user input validation, and error handling.</t>
  </si>
  <si>
    <t>age-category-classifier</t>
  </si>
  <si>
    <t>Sakshi160244/age-category-classifier</t>
  </si>
  <si>
    <t>https://github.com/Sakshi160244/age-category-classifier</t>
  </si>
  <si>
    <t>A Python-based Age Category Classifier that categorizes individuals into different age groups such as Child, Teenage, Youngster, Parentage, and Old Age. The program also counts the total number of teenagers while demonstrating loops, conditional statements, counters, and user input handling.</t>
  </si>
  <si>
    <t>employee-attendance-tracker</t>
  </si>
  <si>
    <t>Sakshi160244/employee-attendance-tracker</t>
  </si>
  <si>
    <t>https://github.com/Sakshi160244/employee-attendance-tracker</t>
  </si>
  <si>
    <t>A Python-based Employee Attendance Tracker that processes attendance records using nested loops. The system classifies employees as Present, Absent, Overtime, Half Day, or Short Day, maintains individual and overall attendance counts, and generates summary reports using Python control structures.</t>
  </si>
  <si>
    <t>rule-based-chatbot</t>
  </si>
  <si>
    <t>Sakshi160244/rule-based-chatbot</t>
  </si>
  <si>
    <t>https://github.com/Sakshi160244/rule-based-chatbot</t>
  </si>
  <si>
    <t>A Python-based rule-based chatbot that responds to user-selected menu options with predefined messages. The application demonstrates dictionaries, loops, conditional statements, and user input handling to create a simple interactive console chatbot.</t>
  </si>
  <si>
    <t>cafe-billing-system</t>
  </si>
  <si>
    <t>Sakshi160244/cafe-billing-system</t>
  </si>
  <si>
    <t>https://github.com/Sakshi160244/cafe-billing-system</t>
  </si>
  <si>
    <t>A Python-based Cafe Billing System that allows customers to place orders from a predefined menu, calculates the subtotal, applies GST, and generates the final bill. The project demonstrates dictionaries, loops, conditional statements, user input handling, and basic billing logic.</t>
  </si>
  <si>
    <t>python-user-profile-manager</t>
  </si>
  <si>
    <t>Sakshi160244/python-user-profile-manager</t>
  </si>
  <si>
    <t>https://github.com/Sakshi160244/python-user-profile-manager</t>
  </si>
  <si>
    <t>A Python-based console application that allows users to view and update profile information stored in a dictionary. The system provides a menu-driven interface to display or modify the user's name and password while demonstrating dictionaries, loops, conditional statements, and user input handling.</t>
  </si>
  <si>
    <t>Hospital_Emergency_Room_Dashboard</t>
  </si>
  <si>
    <t>Sakshi160244/Hospital_Emergency_Room_Dashboard</t>
  </si>
  <si>
    <t>https://github.com/Sakshi160244/Hospital_Emergency_Room_Dashboard</t>
  </si>
  <si>
    <t>I have created dashboard to find out meaningful insights on Hospital data</t>
  </si>
  <si>
    <t>February</t>
  </si>
  <si>
    <t>Forked</t>
  </si>
  <si>
    <t>Inactive</t>
  </si>
  <si>
    <t>owner_username</t>
  </si>
  <si>
    <t>owner_type</t>
  </si>
  <si>
    <t>topics</t>
  </si>
  <si>
    <t>license_name</t>
  </si>
  <si>
    <t>homepage</t>
  </si>
  <si>
    <t>has_issues</t>
  </si>
  <si>
    <t>has_projects</t>
  </si>
  <si>
    <t>has_wiki</t>
  </si>
  <si>
    <t>has_pages</t>
  </si>
  <si>
    <t>days_since_last_push</t>
  </si>
  <si>
    <t>has_license</t>
  </si>
  <si>
    <t>fork_to_star_ratio</t>
  </si>
  <si>
    <t>issues_per_1000_stars</t>
  </si>
  <si>
    <t>superset</t>
  </si>
  <si>
    <t>apache/superset</t>
  </si>
  <si>
    <t>apache</t>
  </si>
  <si>
    <t>Organization</t>
  </si>
  <si>
    <t>https://github.com/apache/superset</t>
  </si>
  <si>
    <t>Apache Superset is a Data Visualization and Data Exploration Platform</t>
  </si>
  <si>
    <t>master</t>
  </si>
  <si>
    <t>analytics, apache, apache-superset, asf, bi, business-analytics, business-intelligence, data-analysis, data-analytics, data-engineering, data-science, data-visualization, data-viz, flask, python, react, sql-editor, superset</t>
  </si>
  <si>
    <t>Apache License 2.0</t>
  </si>
  <si>
    <t>https://superset.apache.org/</t>
  </si>
  <si>
    <t>scikit-learn</t>
  </si>
  <si>
    <t>scikit-learn/scikit-learn</t>
  </si>
  <si>
    <t>https://github.com/scikit-learn/scikit-learn</t>
  </si>
  <si>
    <t>scikit-learn: machine learning in Python</t>
  </si>
  <si>
    <t>data-analysis, data-science, machine-learning, python, statistics</t>
  </si>
  <si>
    <t>BSD 3-Clause "New" or "Revised" License</t>
  </si>
  <si>
    <t>https://scikit-learn.org</t>
  </si>
  <si>
    <t>TrendRadar</t>
  </si>
  <si>
    <t>sansan0/TrendRadar</t>
  </si>
  <si>
    <t>sansan0</t>
  </si>
  <si>
    <t>User</t>
  </si>
  <si>
    <t>https://github.com/sansan0/TrendRadar</t>
  </si>
  <si>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</si>
  <si>
    <t>ai, bark, data-analysis, docker, hot-news, llm, mail, mcp, mcp-server, news, ntfy, python, rss, trending-topics, wechat, wework</t>
  </si>
  <si>
    <t>GNU General Public License v3.0</t>
  </si>
  <si>
    <t>https://trendradar.sandev.cc</t>
  </si>
  <si>
    <t>April</t>
  </si>
  <si>
    <t>pandas</t>
  </si>
  <si>
    <t>pandas-dev/pandas</t>
  </si>
  <si>
    <t>pandas-dev</t>
  </si>
  <si>
    <t>https://github.com/pandas-dev/pandas</t>
  </si>
  <si>
    <t>Flexible and powerful data analysis / manipulation library for Python, providing labeled data structures similar to R data.frame objects, statistical functions, and much more</t>
  </si>
  <si>
    <t>alignment, data-analysis, data-science, flexible, pandas, python</t>
  </si>
  <si>
    <t>https://pandas.pydata.org</t>
  </si>
  <si>
    <t>metabase</t>
  </si>
  <si>
    <t>metabase/metabase</t>
  </si>
  <si>
    <t>https://github.com/metabase/metabase</t>
  </si>
  <si>
    <t>The easy-to-use open source Business Intelligence and Embedded Analytics tool that lets everyone work with data :bar_chart:</t>
  </si>
  <si>
    <t>Clojure</t>
  </si>
  <si>
    <t>analytics, bi, business-intelligence, businessintelligence, clojure, dashboard, data, data-analysis, data-visualization, database, metabase, mysql, postgres, postgresql, reporting, slack, sql-editor, visualization</t>
  </si>
  <si>
    <t>Other</t>
  </si>
  <si>
    <t>https://metabase.com</t>
  </si>
  <si>
    <t>streamlit</t>
  </si>
  <si>
    <t>streamlit/streamlit</t>
  </si>
  <si>
    <t>https://github.com/streamlit/streamlit</t>
  </si>
  <si>
    <t>Streamlit — A faster way to build and share data apps.</t>
  </si>
  <si>
    <t>develop</t>
  </si>
  <si>
    <t>data-analysis, data-science, data-visualization, deep-learning, developer-tools, machine-learning, python, streamlit</t>
  </si>
  <si>
    <t>https://streamlit.io</t>
  </si>
  <si>
    <t>scientific-agent-skills</t>
  </si>
  <si>
    <t>K-Dense-AI/scientific-agent-skills</t>
  </si>
  <si>
    <t>K-Dense-AI</t>
  </si>
  <si>
    <t>https://github.com/K-Dense-AI/scientific-agent-skills</t>
  </si>
  <si>
    <t>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t>
  </si>
  <si>
    <t>agent-skills, ai-scientist, bioinformatics, chemoinformatics, claude, claude-skills, claudecode, clinical-research, computational-biology, data-analysis, drug-discovery, genomics, materials-science, metabolomics, proteomics, scientific-computing, scientific-visualization</t>
  </si>
  <si>
    <t>MIT License</t>
  </si>
  <si>
    <t>https://arxiv.org/abs/2609.00065</t>
  </si>
  <si>
    <t>October</t>
  </si>
  <si>
    <t>gradio</t>
  </si>
  <si>
    <t>gradio-app/gradio</t>
  </si>
  <si>
    <t>gradio-app</t>
  </si>
  <si>
    <t>https://github.com/gradio-app/gradio</t>
  </si>
  <si>
    <t>Build and share delightful machine learning apps, all in Python. 🌟 Star to support our work!</t>
  </si>
  <si>
    <t>data-analysis, data-science, data-visualization, deep-learning, deploy, gradio, gradio-interface, interface, machine-learning, models, python, python-notebook, ui, ui-components</t>
  </si>
  <si>
    <t>http://www.gradio.app</t>
  </si>
  <si>
    <t>December</t>
  </si>
  <si>
    <t>BettaFish</t>
  </si>
  <si>
    <t>666ghj/BettaFish</t>
  </si>
  <si>
    <t>666ghj</t>
  </si>
  <si>
    <t>https://github.com/666ghj/BettaFish</t>
  </si>
  <si>
    <t>微舆：人人可用的多Agent舆情分析助手，打破信息茧房，还原舆情原貌，预测未来走向，辅助决策！从0实现，不依赖任何框架。</t>
  </si>
  <si>
    <t>agent-framework, data-analysis, deep-research, deep-search, llms, multi-agent-system, nlp, public-opinion-analysis, python3, sentiment-analysis</t>
  </si>
  <si>
    <t>GNU General Public License v2.0</t>
  </si>
  <si>
    <t>https://deepwiki.com/666ghj/BettaFish</t>
  </si>
  <si>
    <t>Data-Science-For-Beginners</t>
  </si>
  <si>
    <t>microsoft/Data-Science-For-Beginners</t>
  </si>
  <si>
    <t>microsoft</t>
  </si>
  <si>
    <t>https://github.com/microsoft/Data-Science-For-Beginners</t>
  </si>
  <si>
    <t>10 Weeks, 20 Lessons, Data Science for All!</t>
  </si>
  <si>
    <t>Jupyter Notebook</t>
  </si>
  <si>
    <t>data-analysis, data-science, data-visualization, microsoft-for-beginners, pandas, python</t>
  </si>
  <si>
    <t>Not Available</t>
  </si>
  <si>
    <t>March</t>
  </si>
  <si>
    <t>CyberChef</t>
  </si>
  <si>
    <t>gchq/CyberChef</t>
  </si>
  <si>
    <t>gchq</t>
  </si>
  <si>
    <t>https://github.com/gchq/CyberChef</t>
  </si>
  <si>
    <t>The Cyber Swiss Army Knife - a web app for encryption, encoding, compression and data analysis</t>
  </si>
  <si>
    <t>JavaScript</t>
  </si>
  <si>
    <t>compression, data-analysis, data-manipulation, encoding, encryption, hashing, parsing</t>
  </si>
  <si>
    <t>https://gchq.github.io/CyberChef</t>
  </si>
  <si>
    <t>November</t>
  </si>
  <si>
    <t>AI-Expert-Roadmap</t>
  </si>
  <si>
    <t>AMAI-GmbH/AI-Expert-Roadmap</t>
  </si>
  <si>
    <t>AMAI-GmbH</t>
  </si>
  <si>
    <t>https://github.com/AMAI-GmbH/AI-Expert-Roadmap</t>
  </si>
  <si>
    <t>Roadmap to becoming an Artificial Intelligence Expert in 2022</t>
  </si>
  <si>
    <t>ai, ai-roadmap, artificial-intelligence, data-analysis, data-science, deep-learning, machine-learning, neural-network, roadmap, study-plan</t>
  </si>
  <si>
    <t>https://i.am.ai/roadmap</t>
  </si>
  <si>
    <t>Moderately Active</t>
  </si>
  <si>
    <t>reflex</t>
  </si>
  <si>
    <t>reflex-dev/reflex</t>
  </si>
  <si>
    <t>reflex-dev</t>
  </si>
  <si>
    <t>https://github.com/reflex-dev/reflex</t>
  </si>
  <si>
    <t>🕸️ Web apps in pure Python 🐍</t>
  </si>
  <si>
    <t>dashboard, data-analysis, data-science, data-visualization, developer-tools, framework, fullstack, gui, open-source, python, webapp</t>
  </si>
  <si>
    <t>https://reflex.dev</t>
  </si>
  <si>
    <t>dataease</t>
  </si>
  <si>
    <t>dataease/dataease</t>
  </si>
  <si>
    <t>https://github.com/dataease/dataease</t>
  </si>
  <si>
    <t>🔥 人人可用的开源 BI 工具，数据可视化神器。An open-source BI tool alternative to Tableau.</t>
  </si>
  <si>
    <t>Java</t>
  </si>
  <si>
    <t>dev-v2</t>
  </si>
  <si>
    <t>apache-doris, business-intelligence, data-analysis, data-visualization, echarts, kettle, superset, tableau</t>
  </si>
  <si>
    <t>https://dataease.cn/</t>
  </si>
  <si>
    <t>best-of-ml-python</t>
  </si>
  <si>
    <t>lukasmasuch/best-of-ml-python</t>
  </si>
  <si>
    <t>lukasmasuch</t>
  </si>
  <si>
    <t>https://github.com/lukasmasuch/best-of-ml-python</t>
  </si>
  <si>
    <t>🏆 A ranked list of awesome machine learning Python libraries. Updated weekly.</t>
  </si>
  <si>
    <t>automl, chatgpt, data-analysis, data-science, data-visualization, data-visualizations, deep-learning, gpt, gpt-3, jax, keras, machine-learning, ml, nlp, python, pytorch, scikit-learn, tensorflow, transformer</t>
  </si>
  <si>
    <t>Creative Commons Attribution Share Alike 4.0 International</t>
  </si>
  <si>
    <t>https://ml-python.best-of.org</t>
  </si>
  <si>
    <t>pandas-ai</t>
  </si>
  <si>
    <t>sinaptik-ai/pandas-ai</t>
  </si>
  <si>
    <t>sinaptik-ai</t>
  </si>
  <si>
    <t>https://github.com/sinaptik-ai/pandas-ai</t>
  </si>
  <si>
    <t>Chat with your database or your datalake (SQL, CSV, parquet). PandasAI makes data analysis conversational using LLMs and RAG.</t>
  </si>
  <si>
    <t>ai, csv, data, data-analysis, data-science, data-visualization, database, datalake, gpt-4, llm, pandas, sql, text-to-sql</t>
  </si>
  <si>
    <t>https://pandas-ai.com</t>
  </si>
  <si>
    <t>akshare</t>
  </si>
  <si>
    <t>akfamily/akshare</t>
  </si>
  <si>
    <t>akfamily</t>
  </si>
  <si>
    <t>https://github.com/akfamily/akshare</t>
  </si>
  <si>
    <t>AKShare is an elegant and simple financial data interface library for Python, built for human beings! 开源财经数据接口库</t>
  </si>
  <si>
    <t>academic, akshare, asset-pricing, bond, currency, data, data-analysis, data-science, datasets, economic-data, economics, finance, finance-api, financial-data, fundamental, futures, option, quant, stock</t>
  </si>
  <si>
    <t>https://akshare.akfamily.xyz</t>
  </si>
  <si>
    <t>airbyte</t>
  </si>
  <si>
    <t>airbytehq/airbyte</t>
  </si>
  <si>
    <t>airbytehq</t>
  </si>
  <si>
    <t>https://github.com/airbytehq/airbyte</t>
  </si>
  <si>
    <t>Open-source data movement for ELT pipelines and AI agents — from APIs, databases &amp; files to warehouses, lakes, and AI applications. Both self-hosted and Cloud.</t>
  </si>
  <si>
    <t>bigquery, change-data-capture, data, data-analysis, data-collection, data-engineering, data-integration, data-pipeline, elt, etl, java, mssql, mysql, pipeline, postgresql, python, redshift, s3, self-hosted, snowflake</t>
  </si>
  <si>
    <t>https://airbyte.com</t>
  </si>
  <si>
    <t>goaccess</t>
  </si>
  <si>
    <t>allinurl/goaccess</t>
  </si>
  <si>
    <t>allinurl</t>
  </si>
  <si>
    <t>https://github.com/allinurl/goaccess</t>
  </si>
  <si>
    <t>GoAccess is a real-time web log analyzer and interactive viewer that runs in a terminal in *nix systems or through your browser.</t>
  </si>
  <si>
    <t>C</t>
  </si>
  <si>
    <t>analytics, apache, c, caddy, cli, command-line, dashboard, data-analysis, gdpr, goaccess, google-analytics, monitoring, ncurses, nginx, privacy, real-time, terminal, tui, web-analytics, webserver</t>
  </si>
  <si>
    <t>https://goaccess.io</t>
  </si>
  <si>
    <t>pygwalker</t>
  </si>
  <si>
    <t>Kanaries/pygwalker</t>
  </si>
  <si>
    <t>Kanaries</t>
  </si>
  <si>
    <t>https://github.com/Kanaries/pygwalker</t>
  </si>
  <si>
    <t>PyGWalker: Turn your dataframe into an interactive UI for visual analysis</t>
  </si>
  <si>
    <t>data-analysis, data-exploration, dataframe, matplotlib, pandas, plotly, tableau, tableau-alternative, visualization</t>
  </si>
  <si>
    <t>https://kanaries.net/pygwalker</t>
  </si>
  <si>
    <t>WeFlow</t>
  </si>
  <si>
    <t>hicccc77/WeFlow</t>
  </si>
  <si>
    <t>hicccc77</t>
  </si>
  <si>
    <t>https://github.com/hicccc77/WeFlow</t>
  </si>
  <si>
    <t>WeFlow - 一个本地的微信聊天记录导出和年度报告应用</t>
  </si>
  <si>
    <t>annual-report, data-analysis, data-visualization, message, wechat</t>
  </si>
  <si>
    <t>No License</t>
  </si>
  <si>
    <t>https://weflow.top</t>
  </si>
  <si>
    <t>January</t>
  </si>
  <si>
    <t>fg-data-profiling</t>
  </si>
  <si>
    <t>Data-Centric-AI-Community/fg-data-profiling</t>
  </si>
  <si>
    <t>Data-Centric-AI-Community</t>
  </si>
  <si>
    <t>https://github.com/Data-Centric-AI-Community/fg-data-profiling</t>
  </si>
  <si>
    <t>1 Line of code data quality profiling &amp; exploratory data analysis for Pandas and Spark DataFrames.</t>
  </si>
  <si>
    <t>big-data-analytics, data-analysis, data-exploration, data-profiling, data-quality, data-science, deep-learning, eda, exploration, exploratory-data-analysis, hacktoberfest, html-report, jupyter, jupyter-notebook, machine-learning, pandas, pandas-dataframe, pandas-profiling, python, statistics</t>
  </si>
  <si>
    <t>https://docs.sdk.ydata.ai</t>
  </si>
  <si>
    <t>Ai-Learn</t>
  </si>
  <si>
    <t>tangyudi/Ai-Learn</t>
  </si>
  <si>
    <t>tangyudi</t>
  </si>
  <si>
    <t>https://github.com/tangyudi/Ai-Learn</t>
  </si>
  <si>
    <t>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t>
  </si>
  <si>
    <t>algorithm, artificial-intelligence, caffe, cv, data-analysis, data-mining, data-science, deep-learning, keras, machine-learning, mathematics, matplotlib, nlp, numpy, pandas, python, pytorch, seaborn, tensorflow, tensorflow2</t>
  </si>
  <si>
    <t>OpenRefine</t>
  </si>
  <si>
    <t>OpenRefine/OpenRefine</t>
  </si>
  <si>
    <t>https://github.com/OpenRefine/OpenRefine</t>
  </si>
  <si>
    <t>OpenRefine is a free, open source power tool for working with messy data and improving it</t>
  </si>
  <si>
    <t>data-analysis, data-science, data-wrangling, datacleaning, datacleansing, datajournalism, datamining, java, journalism, opendata, reconciliation, wikidata</t>
  </si>
  <si>
    <t>https://openrefine.org/</t>
  </si>
  <si>
    <t>statsmodels</t>
  </si>
  <si>
    <t>statsmodels/statsmodels</t>
  </si>
  <si>
    <t>https://github.com/statsmodels/statsmodels</t>
  </si>
  <si>
    <t>Statsmodels: statistical modeling and econometrics in Python</t>
  </si>
  <si>
    <t>count-model, data-analysis, data-science, econometrics, forecasting, generalized-linear-models, hypothesis-testing, prediction, python, regression-models, robust-estimation, statistics, timeseries-analysis</t>
  </si>
  <si>
    <t>http://www.statsmodels.org/devel/</t>
  </si>
  <si>
    <t>June</t>
  </si>
  <si>
    <t>mlcourse.ai</t>
  </si>
  <si>
    <t>Yorko/mlcourse.ai</t>
  </si>
  <si>
    <t>Yorko</t>
  </si>
  <si>
    <t>https://github.com/Yorko/mlcourse.ai</t>
  </si>
  <si>
    <t>Open Machine Learning Course</t>
  </si>
  <si>
    <t>algorithms, data-analysis, data-science, docker, ipynb, kaggle-inclass, machine-learning, math, matplotlib, numpy, pandas, plotly, python, scikit-learn, scipy, seaborn, vowpal-wabbit</t>
  </si>
  <si>
    <t>https://mlcourse.ai</t>
  </si>
  <si>
    <t>cudf</t>
  </si>
  <si>
    <t>NVIDIA/cudf</t>
  </si>
  <si>
    <t>NVIDIA</t>
  </si>
  <si>
    <t>https://github.com/NVIDIA/cudf</t>
  </si>
  <si>
    <t>cuDF - GPU DataFrame Library</t>
  </si>
  <si>
    <t>C++</t>
  </si>
  <si>
    <t>arrow, cpp, cuda, cudf, dask, data-analysis, data-science, dataframe, gpu, pandas, pydata, python, rapids</t>
  </si>
  <si>
    <t>https://docs.nvidia.com/cudf/</t>
  </si>
  <si>
    <t>May</t>
  </si>
  <si>
    <t>gonum</t>
  </si>
  <si>
    <t>gonum/gonum</t>
  </si>
  <si>
    <t>https://github.com/gonum/gonum</t>
  </si>
  <si>
    <t>Gonum is a set of numeric libraries for the Go programming language. It contains libraries for matrices, statistics, optimization, and more</t>
  </si>
  <si>
    <t>Go</t>
  </si>
  <si>
    <t>data-analysis, go, golang, graph, matrix, scientific-computing, statistics</t>
  </si>
  <si>
    <t>https://www.gonum.org/</t>
  </si>
  <si>
    <t>jimureport</t>
  </si>
  <si>
    <t>jeecgboot/jimureport</t>
  </si>
  <si>
    <t>jeecgboot</t>
  </si>
  <si>
    <t>https://github.com/jeecgboot/jimureport</t>
  </si>
  <si>
    <t>一款真正的 AI 报表诞生了！JimuChatBI —— 首款免费开源对话式智能数据分析产品（Chat2BI）。  一句话生成报表和数据大屏，支持对话式 AI 修改优化；类 Excel 在线报表设计，兼容国产信创数据源。  对着 AI 说句话，报表就出来了——表格、图表、分组汇总自动生成，复杂报表场景轻松应对。想做数据大屏？同样一句话搞定，让数据分析进入 AI 时代。</t>
  </si>
  <si>
    <t>ai, bi, bigscreen, birt, data-analysis, data-visualization, dataease, datav, echart, finereport, highcharts, ireport, jasperreport, metabase, print, redash, report, superset, tableau, text2sql</t>
  </si>
  <si>
    <t>http://jimureport.com</t>
  </si>
  <si>
    <t>growthbook</t>
  </si>
  <si>
    <t>growthbook/growthbook</t>
  </si>
  <si>
    <t>https://github.com/growthbook/growthbook</t>
  </si>
  <si>
    <t>Open Source Feature Flags, Experimentation, and Product Analytics</t>
  </si>
  <si>
    <t>TypeScript</t>
  </si>
  <si>
    <t>ab-testing, abtest, abtesting, analytics, bigquery, clickhouse, continuous-delivery, data-analysis, data-engineering, data-science, databricks, experimentation, feature-flagging, feature-flags, redshift, remote-config, snowflake, split-testing, statistics, warehouse-native</t>
  </si>
  <si>
    <t>https://www.growthbook.io</t>
  </si>
  <si>
    <t>flyte</t>
  </si>
  <si>
    <t>flyteorg/flyte</t>
  </si>
  <si>
    <t>flyteorg</t>
  </si>
  <si>
    <t>https://github.com/flyteorg/flyte</t>
  </si>
  <si>
    <t>Dynamic, resilient AI orchestration. Coordinate data, models, and compute as you build AI workflows.</t>
  </si>
  <si>
    <t>agentic, ai-agents, ai-development-tools, data-analysis, data-science, declarative, fine-tuning, flyte, golang, grpc, hacktoberfest, kubernetes, llm, machine-learning, mlops, orchestration-engine, production, python, scale, workflow</t>
  </si>
  <si>
    <t>https://flyte.org</t>
  </si>
  <si>
    <t>ChatLab</t>
  </si>
  <si>
    <t>ChatLab/ChatLab</t>
  </si>
  <si>
    <t>https://github.com/ChatLab/ChatLab</t>
  </si>
  <si>
    <t>Local-first chat history analyzer with AI. | 本地优先的 AI 聊天记录分析工具</t>
  </si>
  <si>
    <t>ai-agent, chat-analyzer, chat-history, data-analysis, data-visualization, harness</t>
  </si>
  <si>
    <t>GNU Affero General Public License v3.0</t>
  </si>
  <si>
    <t>https://chatlab.fun</t>
  </si>
  <si>
    <t>alluxio</t>
  </si>
  <si>
    <t>Alluxio/alluxio</t>
  </si>
  <si>
    <t>Alluxio</t>
  </si>
  <si>
    <t>https://github.com/Alluxio/alluxio</t>
  </si>
  <si>
    <t>Alluxio, data orchestration for analytics and machine learning in the cloud</t>
  </si>
  <si>
    <t>alluxio, data-analysis, data-orchestration, hadoop, memory-speed, presto, spark, tensorflow, virtual-distributed-filesystem</t>
  </si>
  <si>
    <t>https://www.alluxio.io</t>
  </si>
  <si>
    <t>imbalanced-learn</t>
  </si>
  <si>
    <t>scikit-learn-contrib/imbalanced-learn</t>
  </si>
  <si>
    <t>scikit-learn-contrib</t>
  </si>
  <si>
    <t>https://github.com/scikit-learn-contrib/imbalanced-learn</t>
  </si>
  <si>
    <t>A Python Package to Tackle the Curse of Imbalanced Datasets in Machine Learning</t>
  </si>
  <si>
    <t>https://imbalanced-learn.org</t>
  </si>
  <si>
    <t>lance</t>
  </si>
  <si>
    <t>lance-format/lance</t>
  </si>
  <si>
    <t>lance-format</t>
  </si>
  <si>
    <t>https://github.com/lance-format/lance</t>
  </si>
  <si>
    <t>Open Lakehouse Format for Multimodal AI. Convert from Parquet in 2 lines of code for 100x faster random access, vector index, and data versioning. Compatible with Pandas, DuckDB, Polars, Pyarrow, and PyTorch with more integrations coming..</t>
  </si>
  <si>
    <t>Rust</t>
  </si>
  <si>
    <t>apache-arrow, computer-vision, data-analysis, data-analytics, data-centric, data-format, data-science, dataops, deep-learning, duckdb, embeddings, llms, machine-learning, mlops, python, rust</t>
  </si>
  <si>
    <t>https://lance.org</t>
  </si>
  <si>
    <t>data-juicer</t>
  </si>
  <si>
    <t>datajuicer/data-juicer</t>
  </si>
  <si>
    <t>datajuicer</t>
  </si>
  <si>
    <t>https://github.com/datajuicer/data-juicer</t>
  </si>
  <si>
    <t>Data processing for and with foundation models!  🍎 🍋 🌽 ➡️ ➡️🍸 🍹 🍷</t>
  </si>
  <si>
    <t>data, data-analysis, data-pipeline, data-processing, data-science, data-visualization, foundation-models, instruction-tuning, large-language-models, llm, llms, multi-modal, pre-training, synthetic-data</t>
  </si>
  <si>
    <t>https://datajuicer.github.io/data-juicer/</t>
  </si>
  <si>
    <t>Data-Analysis-and-Machine-Learning-Projects</t>
  </si>
  <si>
    <t>rhiever/Data-Analysis-and-Machine-Learning-Projects</t>
  </si>
  <si>
    <t>rhiever</t>
  </si>
  <si>
    <t>https://github.com/rhiever/Data-Analysis-and-Machine-Learning-Projects</t>
  </si>
  <si>
    <t>Repository of teaching materials, code, and data for my data analysis and machine learning projects.</t>
  </si>
  <si>
    <t>data-analysis, data-science, evolutionary-algorithm, ipython-notebook, machine-learning, python</t>
  </si>
  <si>
    <t>http://www.randalolson.com/blog/</t>
  </si>
  <si>
    <t>cloudquery</t>
  </si>
  <si>
    <t>cloudquery/cloudquery</t>
  </si>
  <si>
    <t>https://github.com/cloudquery/cloudquery</t>
  </si>
  <si>
    <t>Data pipelines for cloud config and security data. Build cloud asset inventory, CSPM, FinOps, and vulnerability management solutions. Extract from AWS, Azure, GCP, and 70+ cloud and SaaS sources.</t>
  </si>
  <si>
    <t>airbyte, attack-surface-management, aws, azure, bigquery, cspm, data, data-analysis, data-collection, data-engineering, data-integration, elt, etl, etl-framework, gcp, github-api, go, google, kubernetes, sql</t>
  </si>
  <si>
    <t>Mozilla Public License 2.0</t>
  </si>
  <si>
    <t>https://cloudquery.io</t>
  </si>
  <si>
    <t>awesome-R</t>
  </si>
  <si>
    <t>qinwf/awesome-R</t>
  </si>
  <si>
    <t>qinwf</t>
  </si>
  <si>
    <t>https://github.com/qinwf/awesome-R</t>
  </si>
  <si>
    <t>A curated list of awesome R packages, frameworks and software.</t>
  </si>
  <si>
    <t>R</t>
  </si>
  <si>
    <t>awesome, awesome-list, data-analysis, data-science, list, r, rstats</t>
  </si>
  <si>
    <t>pachyderm</t>
  </si>
  <si>
    <t>pachyderm/pachyderm</t>
  </si>
  <si>
    <t>https://github.com/pachyderm/pachyderm</t>
  </si>
  <si>
    <t>Data-Centric Pipelines and Data Versioning</t>
  </si>
  <si>
    <t>analytics, big-data, containers, data-analysis, data-science, distributed-systems, docker, go, kubernetes, pachyderm</t>
  </si>
  <si>
    <t>https://www.pachyderm.com/</t>
  </si>
  <si>
    <t>TaskWeaver</t>
  </si>
  <si>
    <t>microsoft/TaskWeaver</t>
  </si>
  <si>
    <t>https://github.com/microsoft/TaskWeaver</t>
  </si>
  <si>
    <t>The first "code-first" agent framework for seamlessly planning and executing data analytics tasks.</t>
  </si>
  <si>
    <t>agent, ai-agents, code-interpreter, copilot, data-analysis, llm, openai</t>
  </si>
  <si>
    <t>https://microsoft.github.io/TaskWeaver/</t>
  </si>
  <si>
    <t>knowledge-repo</t>
  </si>
  <si>
    <t>airbnb/knowledge-repo</t>
  </si>
  <si>
    <t>airbnb</t>
  </si>
  <si>
    <t>https://github.com/airbnb/knowledge-repo</t>
  </si>
  <si>
    <t>A next-generation curated knowledge sharing platform for data scientists and other technical professions.</t>
  </si>
  <si>
    <t>data, data-analysis, data-science, knowledge</t>
  </si>
  <si>
    <t>SenseNova-Skills</t>
  </si>
  <si>
    <t>OpenSenseNova/SenseNova-Skills</t>
  </si>
  <si>
    <t>OpenSenseNova</t>
  </si>
  <si>
    <t>https://github.com/OpenSenseNova/SenseNova-Skills</t>
  </si>
  <si>
    <t>Modular SenseNova skills for building AI-powered office assistants and productivity workflows</t>
  </si>
  <si>
    <t>agent, agent-skills, ai-agents, ai-assistant, data-analysis, document-processing, office-automation, presentation-slides</t>
  </si>
  <si>
    <t>Awesome-Geospatial</t>
  </si>
  <si>
    <t>sacridini/Awesome-Geospatial</t>
  </si>
  <si>
    <t>sacridini</t>
  </si>
  <si>
    <t>https://github.com/sacridini/Awesome-Geospatial</t>
  </si>
  <si>
    <t>Long list of geospatial tools and resources</t>
  </si>
  <si>
    <t>awesome, awesome-list, data-analysis, deep-learning, earth-observation, geoprocessing, geospatial, geospatial-analysis, geotools, gis, machine-learning, map, remote-sensing, spatial-analysis, spatial-data</t>
  </si>
  <si>
    <t>Creative Commons Zero v1.0 Universal</t>
  </si>
  <si>
    <t>octosql</t>
  </si>
  <si>
    <t>cube2222/octosql</t>
  </si>
  <si>
    <t>cube2222</t>
  </si>
  <si>
    <t>https://github.com/cube2222/octosql</t>
  </si>
  <si>
    <t>OctoSQL is a query tool that allows you to join, analyse and transform data from multiple databases and file formats using SQL.</t>
  </si>
  <si>
    <t>cli, csv, data-analysis, go, golang, json, mysql, nosql, postgresql, query, query-engine, redis, sql</t>
  </si>
  <si>
    <t>dtale</t>
  </si>
  <si>
    <t>man-group/dtale</t>
  </si>
  <si>
    <t>man-group</t>
  </si>
  <si>
    <t>https://github.com/man-group/dtale</t>
  </si>
  <si>
    <t>Visualizer for pandas data structures</t>
  </si>
  <si>
    <t>data-analysis, data-science, data-visualization, flask, ipython, jupyter-notebook, pandas, plotly-dash, python27, python3, react, react-virtualized, visualization, xarray</t>
  </si>
  <si>
    <t>GNU Lesser General Public License v2.1</t>
  </si>
  <si>
    <t>http://alphatechadmin.pythonanywhere.com</t>
  </si>
  <si>
    <t>danfojs</t>
  </si>
  <si>
    <t>javascriptdata/danfojs</t>
  </si>
  <si>
    <t>javascriptdata</t>
  </si>
  <si>
    <t>https://github.com/javascriptdata/danfojs</t>
  </si>
  <si>
    <t>Danfo.js is an open source, JavaScript library providing high performance, intuitive, and easy to use data structures for manipulating and processing structured data.</t>
  </si>
  <si>
    <t>dev</t>
  </si>
  <si>
    <t>danfojs, data-analysis, data-analytics, data-manipulation, data-science, dataframe, javascript, pandas, plotting-charts, stream-data, stream-processing, table, tensorflow, tensors</t>
  </si>
  <si>
    <t>https://danfo.jsdata.org/</t>
  </si>
  <si>
    <t>machine_learning_complete</t>
  </si>
  <si>
    <t>Nyandwi/machine_learning_complete</t>
  </si>
  <si>
    <t>Nyandwi</t>
  </si>
  <si>
    <t>https://github.com/Nyandwi/machine_learning_complete</t>
  </si>
  <si>
    <t>A comprehensive machine learning repository containing 30+ notebooks on different concepts, algorithms and techniques.</t>
  </si>
  <si>
    <t>computer-vision, data-analysis, data-science, data-visualization, datascience, deep-learning, keras, machine-learning, matplotlib, neural-networks, nlp, numpy, open-source, pandas, python, scikit-learn, seaborn, tensorflow</t>
  </si>
  <si>
    <t>https://nyandwi.com/machine_learning_complete/</t>
  </si>
  <si>
    <t>matplotplusplus</t>
  </si>
  <si>
    <t>alandefreitas/matplotplusplus</t>
  </si>
  <si>
    <t>alandefreitas</t>
  </si>
  <si>
    <t>https://github.com/alandefreitas/matplotplusplus</t>
  </si>
  <si>
    <t>Matplot++: A C++ Graphics Library for Data Visualization 📊🗾</t>
  </si>
  <si>
    <t>charting-library, charts, contour-plots, data-analysis, data-science, data-visualization, graphics, graphics-library, graphs, matplot, plot-categories, plots, polar-plots, scientific-computing, scientific-visualization, visualization</t>
  </si>
  <si>
    <t>https://alandefreitas.github.io/matplotplusplus/</t>
  </si>
  <si>
    <t>weibospider</t>
  </si>
  <si>
    <t>SpiderClub/weibospider</t>
  </si>
  <si>
    <t>SpiderClub</t>
  </si>
  <si>
    <t>https://github.com/SpiderClub/weibospider</t>
  </si>
  <si>
    <t>:zap: A distributed crawler for weibo, building with celery and requests.</t>
  </si>
  <si>
    <t>data-analysis, distributed-crawler, python3, sina, weibo, weibospider</t>
  </si>
  <si>
    <t>plotnine</t>
  </si>
  <si>
    <t>has2k1/plotnine</t>
  </si>
  <si>
    <t>has2k1</t>
  </si>
  <si>
    <t>https://github.com/has2k1/plotnine</t>
  </si>
  <si>
    <t>A Grammar of Graphics for Python</t>
  </si>
  <si>
    <t>data-analysis, grammar, graphics, plotting, python</t>
  </si>
  <si>
    <t>https://plotnine.org</t>
  </si>
  <si>
    <t>Rath</t>
  </si>
  <si>
    <t>Kanaries/Rath</t>
  </si>
  <si>
    <t>https://github.com/Kanaries/Rath</t>
  </si>
  <si>
    <t>Next generation of automated data exploratory analysis and visualization platform.</t>
  </si>
  <si>
    <t>augmented-analytics, automated-data-analysis, automated-visualization, autovis, causal-discovery, causal-inference, causality, data-analysis, data-exploration, data-visualization, datamining, eda, k6s, kanaries, machine-learning, tableau, tableau-alternative, visualization</t>
  </si>
  <si>
    <t>https://rath.kanaries.net</t>
  </si>
  <si>
    <t>datascience</t>
  </si>
  <si>
    <t>r0f1/datascience</t>
  </si>
  <si>
    <t>r0f1</t>
  </si>
  <si>
    <t>https://github.com/r0f1/datascience</t>
  </si>
  <si>
    <t>Curated list of Python resources for data science.</t>
  </si>
  <si>
    <t>artificial-intelligence, awesome, awesome-list, bayes, data-analysis, data-mining, data-science, data-visualization, datascience, deep-learning, deeplearning, machine-learning, python, statistics</t>
  </si>
  <si>
    <t>pydata-notebook</t>
  </si>
  <si>
    <t>BrambleXu/pydata-notebook</t>
  </si>
  <si>
    <t>BrambleXu</t>
  </si>
  <si>
    <t>https://github.com/BrambleXu/pydata-notebook</t>
  </si>
  <si>
    <t>利用Python进行数据分析 第二版 (2017) 中文翻译笔记</t>
  </si>
  <si>
    <t>chinese-translation, data-analysis, jupyter-notebook, pandas, python-for-data-analysis</t>
  </si>
  <si>
    <t>DeepAnalyze</t>
  </si>
  <si>
    <t>ruc-datalab/DeepAnalyze</t>
  </si>
  <si>
    <t>ruc-datalab</t>
  </si>
  <si>
    <t>https://github.com/ruc-datalab/DeepAnalyze</t>
  </si>
  <si>
    <t>DeepAnalyze is the first agentic LLM for autonomous data science. 🎈你的AI数据分析师，自动分析大量数据，一键生成专业分析报告！</t>
  </si>
  <si>
    <t>agent, agentic, agentic-ai, ai, ai-scientist, chatbot, data, data-analysis, data-engineering, data-science, data-visualization, database, deep-research, jupyter, llm, open-source, python, python-programming, qwen, science</t>
  </si>
  <si>
    <t>https://ruc-deepanalyze.github.io</t>
  </si>
  <si>
    <t>running_page</t>
  </si>
  <si>
    <t>yihong0618/running_page</t>
  </si>
  <si>
    <t>yihong0618</t>
  </si>
  <si>
    <t>https://github.com/yihong0618/running_page</t>
  </si>
  <si>
    <t>Make your own running home page</t>
  </si>
  <si>
    <t>adidas, club-nike, data-analysis, data-visualization, garmin, garmin-watch, github-secret, gpx, mapbox, nike, strava, vercel</t>
  </si>
  <si>
    <t>https://running-page.vercel.app</t>
  </si>
  <si>
    <t>python-mini-project</t>
  </si>
  <si>
    <t>ndleah/python-mini-project</t>
  </si>
  <si>
    <t>ndleah</t>
  </si>
  <si>
    <t>https://github.com/ndleah/python-mini-project</t>
  </si>
  <si>
    <t>🙌 Welcome open-source Python mini-project contributions!</t>
  </si>
  <si>
    <t>data-analysis, data-science, data-visualization, newbie-code, newbie-friendly, python, python-mini-projects, python-programming-exercises, python-project-beginner</t>
  </si>
  <si>
    <t>Data-Science-Roadmap</t>
  </si>
  <si>
    <t>Moataz-Elmesmary/Data-Science-Roadmap</t>
  </si>
  <si>
    <t>Moataz-Elmesmary</t>
  </si>
  <si>
    <t>https://github.com/Moataz-Elmesmary/Data-Science-Roadmap</t>
  </si>
  <si>
    <t>Data Science Roadmap from A to Z</t>
  </si>
  <si>
    <t>big-data, chatgpt, cheatsheet, cv-template, data-analysis, data-engineering, data-science, data-visualization, deep-learning, interview-questions, linear-algebra, llms, machine-learning, mathematics, neural-network, nlp, probability, python, sql, statistics</t>
  </si>
  <si>
    <t>https://www.linkedin.com/posts/moatazelmesmary_github-moataz-elmesmarydata-science-roadmap-activity-6974293994960769024-yCdi?utm_source=share&amp;utm_medium=member_desktop</t>
  </si>
  <si>
    <t>briefer</t>
  </si>
  <si>
    <t>briefercloud/briefer</t>
  </si>
  <si>
    <t>briefercloud</t>
  </si>
  <si>
    <t>https://github.com/briefercloud/briefer</t>
  </si>
  <si>
    <t>Dashboards and notebooks in a single place. Create powerful and flexible dashboards using code, or build beautiful Notion-like notebooks and share them with your team.</t>
  </si>
  <si>
    <t>analytics, bi, bigquery, briefer, business-intelligence, businessintelligence, dashboard, data-analysis, data-visualization, jupyter, notebook, postgres, postgresql, reporting, visualization</t>
  </si>
  <si>
    <t>https://briefer.cloud</t>
  </si>
  <si>
    <t>sql-translator</t>
  </si>
  <si>
    <t>whoiskatrin/sql-translator</t>
  </si>
  <si>
    <t>whoiskatrin</t>
  </si>
  <si>
    <t>https://github.com/whoiskatrin/sql-translator</t>
  </si>
  <si>
    <t>SQL Translator is a tool for converting natural language queries into SQL code using artificial intelligence. This project is 100% free and open source.</t>
  </si>
  <si>
    <t>data-analysis, data-engineering, dataquery, datascience, dataset, openai, postgresql, query, sql</t>
  </si>
  <si>
    <t>https://www.sqltranslate.app/</t>
  </si>
  <si>
    <t>Data-science</t>
  </si>
  <si>
    <t>CodeCutTech/Data-science</t>
  </si>
  <si>
    <t>CodeCutTech</t>
  </si>
  <si>
    <t>https://github.com/CodeCutTech/Data-science</t>
  </si>
  <si>
    <t>Collection of useful data science topics along with articles, videos, and code</t>
  </si>
  <si>
    <t>articles, artificial-intelligence, data-analysis, data-science, data-visualization, machine-learning, natural-language-processing, python, scraping, time-series</t>
  </si>
  <si>
    <t>https://codecut.ai/blog</t>
  </si>
  <si>
    <t>missingno</t>
  </si>
  <si>
    <t>ResidentMario/missingno</t>
  </si>
  <si>
    <t>ResidentMario</t>
  </si>
  <si>
    <t>https://github.com/ResidentMario/missingno</t>
  </si>
  <si>
    <t>Missing data visualization module for Python.</t>
  </si>
  <si>
    <t>data-analysis, data-visualization, missing-data, pandas, python</t>
  </si>
  <si>
    <t>echotrace</t>
  </si>
  <si>
    <t>ycccccccy/echotrace</t>
  </si>
  <si>
    <t>ycccccccy</t>
  </si>
  <si>
    <t>https://github.com/ycccccccy/echotrace</t>
  </si>
  <si>
    <t>EchoTrace 是一个本地、安全的微信聊天记录导出、分析与年度报告生成工具 | EchoTrace is a local, secure tool for exporting, analyzing, and generating annual reports of WeChat chat records</t>
  </si>
  <si>
    <t>annual-reports, chat-history, data-analysis, data-visualization, wechat</t>
  </si>
  <si>
    <t>tablesaw</t>
  </si>
  <si>
    <t>jtablesaw/tablesaw</t>
  </si>
  <si>
    <t>jtablesaw</t>
  </si>
  <si>
    <t>https://github.com/jtablesaw/tablesaw</t>
  </si>
  <si>
    <t>Java dataframe and visualization library</t>
  </si>
  <si>
    <t>chart, data-analysis, data-frame, data-science, data-visualization, dataframe, high-performance, java, java-dataframe, machine-learning, plotly, plotting, statistical-analysis, statistics, visualization</t>
  </si>
  <si>
    <t>https://jtablesaw.github.io/tablesaw/</t>
  </si>
  <si>
    <t>VTable</t>
  </si>
  <si>
    <t>VisActor/VTable</t>
  </si>
  <si>
    <t>VisActor</t>
  </si>
  <si>
    <t>https://github.com/VisActor/VTable</t>
  </si>
  <si>
    <t>VTable is not just a high-performance multidimensional data analysis table, but also a grid artist that creates art between rows and columns.</t>
  </si>
  <si>
    <t>canvas-table, data-analysis, data-visualization, database, datagrid, grid, javascript-table, javescript, list-table, list-tree, online-excel, pivot-chart, pivot-grid, pivot-tables, react-table, sparklines, spreadsheet, tree-table, visualization, vue-table</t>
  </si>
  <si>
    <t>https://visactor.io/vtable</t>
  </si>
  <si>
    <t>rio</t>
  </si>
  <si>
    <t>rio-labs/rio</t>
  </si>
  <si>
    <t>rio-labs</t>
  </si>
  <si>
    <t>https://github.com/rio-labs/rio</t>
  </si>
  <si>
    <t>WebApps in pure Python. No JavaScript, HTML and CSS needed</t>
  </si>
  <si>
    <t>app, crud-application, data-analysis, data-science, data-visualization, developer-tools, framework, gui, machine-learning, python, web</t>
  </si>
  <si>
    <t>https://rio.dev</t>
  </si>
  <si>
    <t>awesome-python-data-science</t>
  </si>
  <si>
    <t>krzjoa/awesome-python-data-science</t>
  </si>
  <si>
    <t>krzjoa</t>
  </si>
  <si>
    <t>https://github.com/krzjoa/awesome-python-data-science</t>
  </si>
  <si>
    <t>Probably the best curated list of data science software in Python.</t>
  </si>
  <si>
    <t>awesome, awesome-list, awesome-python, data-analysis, data-science, data-visualization, deep-learning, machine-learning, python, scikit-learn, statistics</t>
  </si>
  <si>
    <t>Creative Commons Attribution 4.0 International</t>
  </si>
  <si>
    <t>https://krzjoa.github.io/awesome-python-data-science</t>
  </si>
  <si>
    <t>ml-workspace</t>
  </si>
  <si>
    <t>ml-tooling/ml-workspace</t>
  </si>
  <si>
    <t>ml-tooling</t>
  </si>
  <si>
    <t>https://github.com/ml-tooling/ml-workspace</t>
  </si>
  <si>
    <t>🛠 All-in-one web-based IDE specialized for machine learning and data science.</t>
  </si>
  <si>
    <t>anaconda, data-analysis, data-science, data-visualization, deep-learning, docker, gpu, jupyter, jupyter-lab, jupyter-notebook, kubernetes, machine-learning, neural-networks, nlp, python, pytorch, r, scikit-learn, tensorflow, vscode</t>
  </si>
  <si>
    <t>https://mltooling.org/ml-workspace</t>
  </si>
  <si>
    <t>tad</t>
  </si>
  <si>
    <t>antonycourtney/tad</t>
  </si>
  <si>
    <t>antonycourtney</t>
  </si>
  <si>
    <t>https://github.com/antonycourtney/tad</t>
  </si>
  <si>
    <t>A desktop application for viewing and analyzing tabular data</t>
  </si>
  <si>
    <t>csv, data-analysis, data-science, database, desktop-application, duckdb, parquet-viewer, pivot-tables, pivots, tabular-data</t>
  </si>
  <si>
    <t>http://tadviewer.com</t>
  </si>
  <si>
    <t>root</t>
  </si>
  <si>
    <t>root-project/root</t>
  </si>
  <si>
    <t>root-project</t>
  </si>
  <si>
    <t>https://github.com/root-project/root</t>
  </si>
  <si>
    <t>The official repository for ROOT: analyzing, storing and visualizing big data, scientifically</t>
  </si>
  <si>
    <t>c-plus-plus, cling, data-analysis, geometry, graphics, hacktoberfest, interpreter, machine-learning, mathematics, parallel, physics, python, root, root-cern, statistics, visualization</t>
  </si>
  <si>
    <t>https://root.cern</t>
  </si>
  <si>
    <t>pandas-datareader</t>
  </si>
  <si>
    <t>pydata/pandas-datareader</t>
  </si>
  <si>
    <t>pydata</t>
  </si>
  <si>
    <t>https://github.com/pydata/pandas-datareader</t>
  </si>
  <si>
    <t>Extract data from a wide range of Internet sources into a pandas DataFrame.</t>
  </si>
  <si>
    <t>data, data-analysis, dataset, econdb, economic-data, fama-french, finance, financial-data, fred, html, pandas, pydata, python, stock-data</t>
  </si>
  <si>
    <t>https://pydata.github.io/pandas-datareader/stable/index.html</t>
  </si>
  <si>
    <t>graphic-walker</t>
  </si>
  <si>
    <t>Kanaries/graphic-walker</t>
  </si>
  <si>
    <t>https://github.com/Kanaries/graphic-walker</t>
  </si>
  <si>
    <t>An open source alternative to Tableau. Embeddable visual analytic</t>
  </si>
  <si>
    <t>bi, data, data-analysis, data-mining, data-visualization, eda, k6s, kanaries, low-code, pivot-table, react, tableau, tableau-alternative, typescript, vega, vega-lite, visualization</t>
  </si>
  <si>
    <t>https://kanaries.net/graphic-walker</t>
  </si>
  <si>
    <t>ChartGPU</t>
  </si>
  <si>
    <t>ChartGPU/ChartGPU</t>
  </si>
  <si>
    <t>https://github.com/ChartGPU/ChartGPU</t>
  </si>
  <si>
    <t>Beautiful, open source, WebGPU-based charting library</t>
  </si>
  <si>
    <t>awesome-list, candlestick-chart, chart, chart-library, charting-library, charts, data-analysis, data-visualization, financial-charts, gpu, high-performance, open-source, scatter-plot, shaders, typescript, webgpu, wgsl</t>
  </si>
  <si>
    <t>https://chartgpu.io</t>
  </si>
  <si>
    <t>awesome-TS-anomaly-detection</t>
  </si>
  <si>
    <t>rob-med/awesome-TS-anomaly-detection</t>
  </si>
  <si>
    <t>rob-med</t>
  </si>
  <si>
    <t>https://github.com/rob-med/awesome-TS-anomaly-detection</t>
  </si>
  <si>
    <t>List of tools &amp; datasets for anomaly detection on time-series data.</t>
  </si>
  <si>
    <t>anomaly-detection, awesome-list, data-analysis, data-mining, machine-learning, outlier-detection, temporal-data, time-series</t>
  </si>
  <si>
    <t>igel</t>
  </si>
  <si>
    <t>nidhaloff/igel</t>
  </si>
  <si>
    <t>nidhaloff</t>
  </si>
  <si>
    <t>https://github.com/nidhaloff/igel</t>
  </si>
  <si>
    <t>a delightful machine learning tool that allows you to train, test, and use models without writing code</t>
  </si>
  <si>
    <t>artificial-intelligence, automation, automl, automl-experiments, data-analysis, data-science, hacktoberfest, hacktoberfest2021, machine-learning, machine-learning-algorithms, machine-learning-library, machinelearning, neural-network, neural-networks, preprocessing, scikit-learn, scikitlearn-machine-learning, sklearn</t>
  </si>
  <si>
    <t>https://igel.readthedocs.io/en/latest/</t>
  </si>
  <si>
    <t>devlake</t>
  </si>
  <si>
    <t>apache/devlake</t>
  </si>
  <si>
    <t>https://github.com/apache/devlake</t>
  </si>
  <si>
    <t>Apache DevLake is an open-source dev data platform to ingest, analyze, and visualize the fragmented data from DevOps tools, extracting insights for engineering excellence, developer experience, and community growth.</t>
  </si>
  <si>
    <t>dashboard-friendly, data, data-analysis, data-engineering, data-integration, data-transfers, devops, domain-layer, dora, etl, golang, hacktoberfest, integration, jira, open-source, user-friendly</t>
  </si>
  <si>
    <t>https://devlake.apache.org/</t>
  </si>
  <si>
    <t>Financial-Knowledge-Graphs</t>
  </si>
  <si>
    <t>jm199504/Financial-Knowledge-Graphs</t>
  </si>
  <si>
    <t>jm199504</t>
  </si>
  <si>
    <t>https://github.com/jm199504/Financial-Knowledge-Graphs</t>
  </si>
  <si>
    <t>小型金融知识图谱构建流程（neo4j / python / cypher / KG）</t>
  </si>
  <si>
    <t>cypher, data-analysis, graph-database, neo4j, python</t>
  </si>
  <si>
    <t>sweetviz</t>
  </si>
  <si>
    <t>fbdesignpro/sweetviz</t>
  </si>
  <si>
    <t>fbdesignpro</t>
  </si>
  <si>
    <t>https://github.com/fbdesignpro/sweetviz</t>
  </si>
  <si>
    <t>Visualize and compare datasets, target values and associations, with one line of code.</t>
  </si>
  <si>
    <t>data-analysis, data-exploration, data-profiling, data-science, data-visualization, eda, exploration, exploratory-data-analysis, machine-learning, pandas, pandas-dataframe, python, statistics</t>
  </si>
  <si>
    <t>xlearn</t>
  </si>
  <si>
    <t>aksnzhy/xlearn</t>
  </si>
  <si>
    <t>aksnzhy</t>
  </si>
  <si>
    <t>https://github.com/aksnzhy/xlearn</t>
  </si>
  <si>
    <t>High performance, easy-to-use, and scalable machine learning (ML) package, including linear model (LR), factorization machines (FM), and field-aware factorization machines (FFM) for Python and CLI interface.</t>
  </si>
  <si>
    <t>data-analysis, data-science, factorization-machines, ffm, fm, machine-learning, statistics</t>
  </si>
  <si>
    <t>https://xlearn-doc.readthedocs.io/en/latest/index.html</t>
  </si>
  <si>
    <t>100-pandas-puzzles</t>
  </si>
  <si>
    <t>ajcr/100-pandas-puzzles</t>
  </si>
  <si>
    <t>ajcr</t>
  </si>
  <si>
    <t>https://github.com/ajcr/100-pandas-puzzles</t>
  </si>
  <si>
    <t>100 data puzzles for pandas, ranging from short and simple to super tricky (60% complete)</t>
  </si>
  <si>
    <t>data-analysis, numpy, pandas, python</t>
  </si>
  <si>
    <t>deepnote</t>
  </si>
  <si>
    <t>deepnote/deepnote</t>
  </si>
  <si>
    <t>https://github.com/deepnote/deepnote</t>
  </si>
  <si>
    <t>Deepnote is a drop-in replacement for Jupyter with an AI-first design, sleek UI, new blocks, and native data integrations. Use Python, R, and SQL locally in your favorite IDE, then scale to Deepnote cloud for real-time collaboration, Deepnote agent, and deployable data apps. https://deepnote.com/</t>
  </si>
  <si>
    <t>artificial-intelligence, data, data-analysis, data-science, data-visualization, deepnote, eda, jupyter, jupyterhub, jupyterlab, machine-learning, notebooks, python, r, sql</t>
  </si>
  <si>
    <t>https://deepnote.com/?utm_source=github&amp;utm_medium=github&amp;utm_campaign=github&amp;utm_content=readme_main</t>
  </si>
  <si>
    <t>DataFrame</t>
  </si>
  <si>
    <t>hosseinmoein/DataFrame</t>
  </si>
  <si>
    <t>hosseinmoein</t>
  </si>
  <si>
    <t>https://github.com/hosseinmoein/DataFrame</t>
  </si>
  <si>
    <t>C++ DataFrame for statistical, financial, and ML analysis in modern C++</t>
  </si>
  <si>
    <t>ai, cpp, data-analysis, data-science, dataframe, financial-data-analysis, financial-engineering, large-data, machine-learning, multidimensional-data, numerical-analysis, statistical, statistical-analysis, tensor, tensorboard, trading-algorithms, trading-strategies</t>
  </si>
  <si>
    <t>https://hosseinmoein.github.io/DataFrame/</t>
  </si>
  <si>
    <t>datastation</t>
  </si>
  <si>
    <t>multiprocessio/datastation</t>
  </si>
  <si>
    <t>multiprocessio</t>
  </si>
  <si>
    <t>https://github.com/multiprocessio/datastation</t>
  </si>
  <si>
    <t>App to easily query, script, and visualize data from every database, file, and API.</t>
  </si>
  <si>
    <t>apache2, cockroachdb, data-analysis, data-visualization, database, julia, log-analysis, mariadb, mysql, nginx, nodejs, postgresql, python, rstats, ruby, sql, sql-editor, sql-server, sqlite3, syslog</t>
  </si>
  <si>
    <t>https://datastation.multiprocess.io</t>
  </si>
  <si>
    <t>rill</t>
  </si>
  <si>
    <t>rilldata/rill</t>
  </si>
  <si>
    <t>rilldata</t>
  </si>
  <si>
    <t>https://github.com/rilldata/rill</t>
  </si>
  <si>
    <t>The fastest business intelligence tool for humans and agents.</t>
  </si>
  <si>
    <t>ai, ai-chatbot, bi, business-analytics, csv, data, data-analysis, data-visualization, dataviz, duckdb, gen-ai, golang, parquet, parquet-tools, parquet-viewer, s3, sql, sql-editor, sveltekit</t>
  </si>
  <si>
    <t>https://www.rilldata.com</t>
  </si>
  <si>
    <t>secretflow</t>
  </si>
  <si>
    <t>secretflow/secretflow</t>
  </si>
  <si>
    <t>https://github.com/secretflow/secretflow</t>
  </si>
  <si>
    <t>A unified framework for privacy-preserving data analysis and machine learning</t>
  </si>
  <si>
    <t>confidential-computing, data-analysis, differential-privacy, federated-learning, homomorphic-encryption, machine-learning, privacy-preserving, private-set-intersection, secure-multiparty-computation, split-learning, trusted-execution-environment</t>
  </si>
  <si>
    <t>https://www.secretflow.org.cn/docs/secretflow/en/</t>
  </si>
  <si>
    <t>evadb</t>
  </si>
  <si>
    <t>georgia-tech-db/evadb</t>
  </si>
  <si>
    <t>georgia-tech-db</t>
  </si>
  <si>
    <t>https://github.com/georgia-tech-db/evadb</t>
  </si>
  <si>
    <t>Database system for AI-powered apps</t>
  </si>
  <si>
    <t>staging</t>
  </si>
  <si>
    <t>agent, ai, auto-gpt, chatgpt, data-analysis, database, eva, gpt-4, gpt4all, hacktoberfest, huggingface, labeling, langchain, llm, object-detection, serving, video-analytics</t>
  </si>
  <si>
    <t>https://evadb.readthedocs.io/en/stable/</t>
  </si>
  <si>
    <t>mito</t>
  </si>
  <si>
    <t>mito-ds/mito</t>
  </si>
  <si>
    <t>mito-ds</t>
  </si>
  <si>
    <t>https://github.com/mito-ds/mito</t>
  </si>
  <si>
    <t>Jupyter extensions that help you write code faster: Context aware AI Chat, Autocomplete, and Spreadsheet</t>
  </si>
  <si>
    <t>ai, data, data-analysis, data-science, data-visualization, jupyter, jupyterhub, jupyterlab, jupyterlab-extension, pandas, python, streamlit-component</t>
  </si>
  <si>
    <t>https://trymito.io</t>
  </si>
  <si>
    <t>hamilton</t>
  </si>
  <si>
    <t>apache/hamilton</t>
  </si>
  <si>
    <t>https://github.com/apache/hamilton</t>
  </si>
  <si>
    <t>Apache Hamilton helps data scientists and engineers define testable, modular, self-documenting dataflows, that encode lineage/tracing and metadata. Runs and scales everywhere python does.</t>
  </si>
  <si>
    <t>dag, data-analysis, data-engineering, data-science, dataframe, etl, etl-framework, etl-pipeline, feature-engineering, hacktoberfest, lineage, llmops, machine-learning, mlops, orchestration, pandas, python, rag, software-engineering</t>
  </si>
  <si>
    <t>https://hamilton.apache.org/</t>
  </si>
  <si>
    <t>Linear-Algebra-With-Python</t>
  </si>
  <si>
    <t>weijie-chen/Linear-Algebra-With-Python</t>
  </si>
  <si>
    <t>weijie-chen</t>
  </si>
  <si>
    <t>https://github.com/weijie-chen/Linear-Algebra-With-Python</t>
  </si>
  <si>
    <t>Lecture Notes for Linear Algebra Featuring Python. This series of lecture notes will walk you through all the must-know concepts that set the foundation of data science or advanced quantitative skillsets. Suitable for statistician/econometrician, quantitative analysts, data scientists and etc. to quickly refresh the linear algebra with the assistance of Python computation and visualization.</t>
  </si>
  <si>
    <t>computational-science, data-analysis, data-science, data-visualization, diagonalization, eigenvalues, eigenvectors, gram-schmidt, jupyter, linear-algebra, linear-transformations, mathematics, matrix, matrix-calculations, multivariate-normal-distribution, null-space, python, singular-value-decomposition, symmetric-matrices, vector-space</t>
  </si>
  <si>
    <t>gopup</t>
  </si>
  <si>
    <t>justinzm/gopup</t>
  </si>
  <si>
    <t>justinzm</t>
  </si>
  <si>
    <t>https://github.com/justinzm/gopup</t>
  </si>
  <si>
    <t>数据接口：百度、谷歌、头条、微博指数,宏观数据，利率数据，货币汇率，千里马、独角兽公司，新闻联播文字稿，影视票房数据，高校名单，疫情数据…</t>
  </si>
  <si>
    <t>covid19-data, data, data-analysis, data-science, datasets, economic-data, gopup, index-data, python</t>
  </si>
  <si>
    <t>http://www.gopup.cn</t>
  </si>
  <si>
    <t>AAChartKit-Swift</t>
  </si>
  <si>
    <t>AAChartModel/AAChartKit-Swift</t>
  </si>
  <si>
    <t>AAChartModel</t>
  </si>
  <si>
    <t>https://github.com/AAChartModel/AAChartKit-Swift</t>
  </si>
  <si>
    <t>📈📊📱💻🖥️An elegant modern declarative data visualization chart framework for iOS, iPadOS and macOS. Extremely powerful, supports line, spline, area, areaspline, column, bar, pie, scatter, angular gauges, arearange, areasplinerange, columnrange, bubble, box plot, error bars, funnel, waterfall and polar chart types. 极其精美而又强大的现代化声明式数据可视化图表框架,支持柱状图、条形图、折线图、曲线图、折线填充图、曲线填充图、气泡图、扇形图、环形图、散点图、雷达图、混合图等各种类型的多达几十种的信息图图表,完全满足工作所需.</t>
  </si>
  <si>
    <t>Swift</t>
  </si>
  <si>
    <t>animation, area-chart, bar-chart, bubble-chart, chart, column-chart, data-analysis, data-visualization, draw, graph, graphics, ios, line-chart, model, objective-c, pie, plot, spline-chart, swift, view</t>
  </si>
  <si>
    <t>https://cocoapods.org/pods/AAInfographics</t>
  </si>
  <si>
    <t>hyperlearn</t>
  </si>
  <si>
    <t>unslothai/hyperlearn</t>
  </si>
  <si>
    <t>unslothai</t>
  </si>
  <si>
    <t>https://github.com/unslothai/hyperlearn</t>
  </si>
  <si>
    <t>2-2000x faster ML algos, 50% less memory usage, works on all hardware - new and old.</t>
  </si>
  <si>
    <t>data-analysis, data-science, deep-learning, econometrics, gpu, machine-learning, neural-network, optimization, python, pytorch, regression-models, research, scikit-learn, statistics, statsmodels, tensor</t>
  </si>
  <si>
    <t>https://unsloth.ai</t>
  </si>
  <si>
    <t>ArcticDB</t>
  </si>
  <si>
    <t>man-group/ArcticDB</t>
  </si>
  <si>
    <t>https://github.com/man-group/ArcticDB</t>
  </si>
  <si>
    <t>ArcticDB is a high performance, serverless DataFrame database built for the Python Data Science ecosystem.</t>
  </si>
  <si>
    <t>big-data, data, data-analysis, data-science, database, dataframe, pandas, quantitative-analysis, quantitative-finance, quantitative-trading</t>
  </si>
  <si>
    <t>http://arcticdb.io</t>
  </si>
  <si>
    <t>elementary</t>
  </si>
  <si>
    <t>elementary-data/elementary</t>
  </si>
  <si>
    <t>elementary-data</t>
  </si>
  <si>
    <t>https://github.com/elementary-data/elementary</t>
  </si>
  <si>
    <t>The dbt-native data observability solution for data &amp; analytics engineers. Monitor your data pipelines in minutes. Available as self-hosted or cloud service with premium features.</t>
  </si>
  <si>
    <t>HTML</t>
  </si>
  <si>
    <t>analytics-engineer, bigquery, data-analysis, data-governance, data-lineage, data-observability, data-pipeline, data-pipelines, data-reliability, data-warehouse, dataops, dbt, dbt-artifacts, dbt-packages, lineage, redshift, snowflake</t>
  </si>
  <si>
    <t>https://www.elementary-data.com/</t>
  </si>
  <si>
    <t>sqliteviz</t>
  </si>
  <si>
    <t>lana-k/sqliteviz</t>
  </si>
  <si>
    <t>lana-k</t>
  </si>
  <si>
    <t>https://github.com/lana-k/sqliteviz</t>
  </si>
  <si>
    <t>Instant offline SQL-powered data visualisation in your browser</t>
  </si>
  <si>
    <t>charting, csv, data-analysis, pivot, pivot-table, plotly, plotting, sql, sqlite, visualization</t>
  </si>
  <si>
    <t>https://sqliteviz.com</t>
  </si>
  <si>
    <t>awesome-business-intelligence</t>
  </si>
  <si>
    <t>thenaturalist/awesome-business-intelligence</t>
  </si>
  <si>
    <t>thenaturalist</t>
  </si>
  <si>
    <t>https://github.com/thenaturalist/awesome-business-intelligence</t>
  </si>
  <si>
    <t>Actively curated list of awesome BI tools. PRs welcome!</t>
  </si>
  <si>
    <t>awesome-list, business-intelligence, data-analysis, data-science, data-visualization, database, etl, sql</t>
  </si>
  <si>
    <t>datart</t>
  </si>
  <si>
    <t>running-elephant/datart</t>
  </si>
  <si>
    <t>running-elephant</t>
  </si>
  <si>
    <t>https://github.com/running-elephant/datart</t>
  </si>
  <si>
    <t>Datart is a next generation Data Visualization Open Platform</t>
  </si>
  <si>
    <t>analytics, bi, business-analytics, business-intelligence, chart, d3, dashboard, data-analysis, data-analytics, data-engineering, data-visualization, data-viz, datart, davinci, display, echarts, react, report, sql-editor, typescript</t>
  </si>
  <si>
    <t>https://running-elephant.github.io/datart-docs/</t>
  </si>
  <si>
    <t>tabix</t>
  </si>
  <si>
    <t>tabixio/tabix</t>
  </si>
  <si>
    <t>tabixio</t>
  </si>
  <si>
    <t>https://github.com/tabixio/tabix</t>
  </si>
  <si>
    <t>Tabix.io UI</t>
  </si>
  <si>
    <t>bi, business-intelligence, businessintelligence, clickhouse, dashboard, data-analysis, data-visualization, sql-query, tabix</t>
  </si>
  <si>
    <t>https://tabix.io</t>
  </si>
  <si>
    <t>Tanu-N-Prabhu/Python</t>
  </si>
  <si>
    <t>Tanu-N-Prabhu</t>
  </si>
  <si>
    <t>https://github.com/Tanu-N-Prabhu/Python</t>
  </si>
  <si>
    <t>This repository helps you learn Python and Machine Learning from scratch.</t>
  </si>
  <si>
    <t>data, data-analysis, data-visualization, dataanalysis, datascraping, google-colab, google-colab-notebook, jupyter-notebook, machine-learning, machine-learning-algorithms, numpy, numpy-arrays, pandas-dataframe, prediction, python, python-3, python3</t>
  </si>
  <si>
    <t>https://github.com/Tanu-N-Prabhu</t>
  </si>
  <si>
    <t>pandas-videos</t>
  </si>
  <si>
    <t>justmarkham/pandas-videos</t>
  </si>
  <si>
    <t>justmarkham</t>
  </si>
  <si>
    <t>https://github.com/justmarkham/pandas-videos</t>
  </si>
  <si>
    <t>Jupyter notebook and datasets from the pandas video series</t>
  </si>
  <si>
    <t>data-analysis, data-cleaning, data-science, jupyter-notebook, pandas, python, tutorial</t>
  </si>
  <si>
    <t>https://courses.dataschool.io/pandas-in-30-days</t>
  </si>
  <si>
    <t>Grand Total</t>
  </si>
  <si>
    <t>Programming Language</t>
  </si>
  <si>
    <t>Repository Count</t>
  </si>
  <si>
    <t>Total Forks</t>
  </si>
  <si>
    <t>Total Stars</t>
  </si>
  <si>
    <t>Activity Status</t>
  </si>
  <si>
    <t>Creation Year</t>
  </si>
  <si>
    <t>Licence Available</t>
  </si>
  <si>
    <t>Repository</t>
  </si>
  <si>
    <t>GitHub Repository &amp; Developer Activity Dashboard</t>
  </si>
  <si>
    <t>Total Repositories</t>
  </si>
  <si>
    <t>Average Stars</t>
  </si>
  <si>
    <t>Active Repositories</t>
  </si>
  <si>
    <t>Active Repository Rate</t>
  </si>
  <si>
    <t>Licensed Repository Rate</t>
  </si>
  <si>
    <t>Top Repository by Stars</t>
  </si>
  <si>
    <t>analysis_as_of_date</t>
  </si>
  <si>
    <t>2026-09-15T00:00:00+00:00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</si>
</sst>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sz val="11"/>
      <color theme="0"/>
      <name val="Calibri"/>
      <family val="2"/>
      <scheme val="minor"/>
    </font>
    <font>
      <b/>
      <sz val="20"/>
      <color theme="0"/>
      <name val="Calibri"/>
      <family val="2"/>
      <scheme val="minor"/>
    </font>
    <font>
      <b/>
      <sz val="16"/>
      <color theme="1"/>
      <name val="Calibri"/>
      <family val="2"/>
      <scheme val="minor"/>
    </font>
    <font>
      <sz val="8"/>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22"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center"/>
    </xf>
    <xf numFmtId="0" fontId="4" fillId="3" borderId="1" xfId="0" applyFont="1" applyFill="1" applyBorder="1" applyAlignment="1">
      <alignment horizontal="center"/>
    </xf>
    <xf numFmtId="3" fontId="4" fillId="3" borderId="1" xfId="1" applyNumberFormat="1" applyFont="1" applyFill="1" applyBorder="1" applyAlignment="1">
      <alignment horizontal="center"/>
    </xf>
    <xf numFmtId="3" fontId="4" fillId="3" borderId="1" xfId="0" applyNumberFormat="1" applyFont="1" applyFill="1" applyBorder="1" applyAlignment="1">
      <alignment horizontal="center"/>
    </xf>
    <xf numFmtId="9" fontId="4" fillId="3" borderId="1" xfId="2" applyFont="1" applyFill="1" applyBorder="1" applyAlignment="1">
      <alignment horizontal="center"/>
    </xf>
    <xf numFmtId="4" fontId="4" fillId="3" borderId="1" xfId="0" applyNumberFormat="1" applyFont="1" applyFill="1" applyBorder="1" applyAlignment="1">
      <alignment horizontal="center"/>
    </xf>
    <xf numFmtId="0" fontId="0" fillId="0" borderId="0" xfId="0" applyNumberFormat="1"/>
    <xf numFmtId="164" fontId="0" fillId="0" borderId="0" xfId="0" applyNumberFormat="1" applyAlignment="1">
      <alignment horizontal="center" vertical="center"/>
    </xf>
  </cellXfs>
  <cellStyles count="3">
    <cellStyle name="Comma" xfId="1" builtinId="3"/>
    <cellStyle name="Normal" xfId="0" builtinId="0"/>
    <cellStyle name="Percent" xfId="2" builtinId="5"/>
  </cellStyles>
  <dxfs count="42">
    <dxf>
      <alignment vertical="center"/>
    </dxf>
    <dxf>
      <alignment horizontal="center"/>
    </dxf>
    <dxf>
      <numFmt numFmtId="0" formatCode="General"/>
    </dxf>
    <dxf>
      <numFmt numFmtId="27" formatCode="dd/mm/yyyy\ hh:mm"/>
    </dxf>
    <dxf>
      <numFmt numFmtId="27" formatCode="dd/mm/yyyy\ hh:mm"/>
    </dxf>
    <dxf>
      <numFmt numFmtId="27" formatCode="dd/mm/yyyy\ hh:mm"/>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4" formatCode="_ * #,##0_ ;_ * \-#,##0_ ;_ * &quot;-&quot;??_ ;_ @_ "/>
    </dxf>
    <dxf>
      <numFmt numFmtId="164" formatCode="_ * #,##0_ ;_ * \-#,##0_ ;_ * &quot;-&quot;??_ ;_ @_ "/>
    </dxf>
    <dxf>
      <numFmt numFmtId="35" formatCode="_ * #,##0.00_ ;_ * \-#,##0.00_ ;_ * &quot;-&quot;??_ ;_ @_ "/>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[GitHub_Analytics_Dashboard.xlsx]Pivot Analysis!PivotLanguage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Repositories by Programming Language</a:t>
            </a:r>
          </a:p>
        </c:rich>
      </c:tx>
      <c:layout>
        <c:manualLayout>
          <c:xMode val="edge"/>
          <c:yMode val="edge"/>
          <c:x val="9.7848055827320368E-2"/>
          <c:y val="2.94496943309676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Analysis'!$A$4:$A$18</c:f>
              <c:strCache>
                <c:ptCount val="14"/>
                <c:pt idx="0">
                  <c:v>Python</c:v>
                </c:pt>
                <c:pt idx="1">
                  <c:v>TypeScript</c:v>
                </c:pt>
                <c:pt idx="2">
                  <c:v>Jupyter Notebook</c:v>
                </c:pt>
                <c:pt idx="3">
                  <c:v>Not Specified</c:v>
                </c:pt>
                <c:pt idx="4">
                  <c:v>Go</c:v>
                </c:pt>
                <c:pt idx="5">
                  <c:v>C++</c:v>
                </c:pt>
                <c:pt idx="6">
                  <c:v>Java</c:v>
                </c:pt>
                <c:pt idx="7">
                  <c:v>JavaScript</c:v>
                </c:pt>
                <c:pt idx="8">
                  <c:v>Rust</c:v>
                </c:pt>
                <c:pt idx="9">
                  <c:v>HTML</c:v>
                </c:pt>
                <c:pt idx="10">
                  <c:v>Swift</c:v>
                </c:pt>
                <c:pt idx="11">
                  <c:v>C</c:v>
                </c:pt>
                <c:pt idx="12">
                  <c:v>Clojure</c:v>
                </c:pt>
                <c:pt idx="13">
                  <c:v>R</c:v>
                </c:pt>
              </c:strCache>
            </c:strRef>
          </c:cat>
          <c:val>
            <c:numRef>
              <c:f>'Pivot Analysis'!$B$4:$B$18</c:f>
              <c:numCache>
                <c:formatCode>General</c:formatCode>
                <c:ptCount val="14"/>
                <c:pt idx="0">
                  <c:v>32</c:v>
                </c:pt>
                <c:pt idx="1">
                  <c:v>16</c:v>
                </c:pt>
                <c:pt idx="2">
                  <c:v>14</c:v>
                </c:pt>
                <c:pt idx="3">
                  <c:v>10</c:v>
                </c:pt>
                <c:pt idx="4">
                  <c:v>7</c:v>
                </c:pt>
                <c:pt idx="5">
                  <c:v>6</c:v>
                </c:pt>
                <c:pt idx="6">
                  <c:v>5</c:v>
                </c:pt>
                <c:pt idx="7">
                  <c:v>4</c:v>
                </c:pt>
                <c:pt idx="8">
                  <c:v>1</c:v>
                </c:pt>
                <c:pt idx="9">
                  <c:v>1</c:v>
                </c:pt>
                <c:pt idx="10">
                  <c:v>1</c:v>
                </c:pt>
                <c:pt idx="11">
                  <c:v>1</c:v>
                </c:pt>
                <c:pt idx="12">
                  <c:v>1</c:v>
                </c:pt>
                <c:pt idx="13">
                  <c:v>1</c:v>
                </c:pt>
              </c:numCache>
            </c:numRef>
          </c:val>
          <c:extLst>
            <c:ext xmlns:c16="http://schemas.microsoft.com/office/drawing/2014/chart" uri="{C3380CC4-5D6E-409C-BE32-E72D297353CC}">
              <c16:uniqueId val="{00000000-55FD-421B-8787-2BFDEA79CD23}"/>
            </c:ext>
          </c:extLst>
        </c:ser>
        <c:dLbls>
          <c:dLblPos val="inEnd"/>
          <c:showLegendKey val="0"/>
          <c:showVal val="1"/>
          <c:showCatName val="0"/>
          <c:showSerName val="0"/>
          <c:showPercent val="0"/>
          <c:showBubbleSize val="0"/>
        </c:dLbls>
        <c:gapWidth val="65"/>
        <c:axId val="57558256"/>
        <c:axId val="2034099279"/>
      </c:barChart>
      <c:catAx>
        <c:axId val="57558256"/>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4099279"/>
        <c:crossesAt val="0"/>
        <c:auto val="1"/>
        <c:lblAlgn val="ctr"/>
        <c:lblOffset val="100"/>
        <c:noMultiLvlLbl val="0"/>
      </c:catAx>
      <c:valAx>
        <c:axId val="2034099279"/>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55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[GitHub_Analytics_Dashboard.xlsx]Pivot Analysis!PivotTopRepositories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Repositories by Stars</a:t>
            </a:r>
          </a:p>
        </c:rich>
      </c:tx>
      <c:layout>
        <c:manualLayout>
          <c:xMode val="edge"/>
          <c:yMode val="edge"/>
          <c:x val="0.19740565440924879"/>
          <c:y val="1.4030183232401421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Analysis'!$A$23:$A$33</c:f>
              <c:strCache>
                <c:ptCount val="10"/>
                <c:pt idx="0">
                  <c:v>apache/superset</c:v>
                </c:pt>
                <c:pt idx="1">
                  <c:v>scikit-learn/scikit-learn</c:v>
                </c:pt>
                <c:pt idx="2">
                  <c:v>sansan0/TrendRadar</c:v>
                </c:pt>
                <c:pt idx="3">
                  <c:v>pandas-dev/pandas</c:v>
                </c:pt>
                <c:pt idx="4">
                  <c:v>metabase/metabase</c:v>
                </c:pt>
                <c:pt idx="5">
                  <c:v>streamlit/streamlit</c:v>
                </c:pt>
                <c:pt idx="6">
                  <c:v>K-Dense-AI/scientific-agent-skills</c:v>
                </c:pt>
                <c:pt idx="7">
                  <c:v>gradio-app/gradio</c:v>
                </c:pt>
                <c:pt idx="8">
                  <c:v>666ghj/BettaFish</c:v>
                </c:pt>
                <c:pt idx="9">
                  <c:v>microsoft/Data-Science-For-Beginners</c:v>
                </c:pt>
              </c:strCache>
            </c:strRef>
          </c:cat>
          <c:val>
            <c:numRef>
              <c:f>'Pivot Analysis'!$B$23:$B$33</c:f>
              <c:numCache>
                <c:formatCode>General</c:formatCode>
                <c:ptCount val="10"/>
                <c:pt idx="0">
                  <c:v>74689</c:v>
                </c:pt>
                <c:pt idx="1">
                  <c:v>67220</c:v>
                </c:pt>
                <c:pt idx="2">
                  <c:v>62136</c:v>
                </c:pt>
                <c:pt idx="3">
                  <c:v>49705</c:v>
                </c:pt>
                <c:pt idx="4">
                  <c:v>49146</c:v>
                </c:pt>
                <c:pt idx="5">
                  <c:v>45718</c:v>
                </c:pt>
                <c:pt idx="6">
                  <c:v>43951</c:v>
                </c:pt>
                <c:pt idx="7">
                  <c:v>43494</c:v>
                </c:pt>
                <c:pt idx="8">
                  <c:v>42172</c:v>
                </c:pt>
                <c:pt idx="9">
                  <c:v>36888</c:v>
                </c:pt>
              </c:numCache>
            </c:numRef>
          </c:val>
          <c:extLst>
            <c:ext xmlns:c16="http://schemas.microsoft.com/office/drawing/2014/chart" uri="{C3380CC4-5D6E-409C-BE32-E72D297353CC}">
              <c16:uniqueId val="{00000000-14B0-4DA5-9101-EC467F506F42}"/>
            </c:ext>
          </c:extLst>
        </c:ser>
        <c:dLbls>
          <c:dLblPos val="inEnd"/>
          <c:showLegendKey val="0"/>
          <c:showVal val="1"/>
          <c:showCatName val="0"/>
          <c:showSerName val="0"/>
          <c:showPercent val="0"/>
          <c:showBubbleSize val="0"/>
        </c:dLbls>
        <c:gapWidth val="65"/>
        <c:axId val="43850720"/>
        <c:axId val="2034115119"/>
      </c:barChart>
      <c:catAx>
        <c:axId val="43850720"/>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4115119"/>
        <c:crosses val="autoZero"/>
        <c:auto val="1"/>
        <c:lblAlgn val="ctr"/>
        <c:lblOffset val="100"/>
        <c:noMultiLvlLbl val="0"/>
      </c:catAx>
      <c:valAx>
        <c:axId val="2034115119"/>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8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[GitHub_Analytics_Dashboard.xlsx]Pivot Analysis!PivotActivity</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Repository Activity Status</a:t>
            </a:r>
          </a:p>
        </c:rich>
      </c:tx>
      <c:layout>
        <c:manualLayout>
          <c:xMode val="edge"/>
          <c:yMode val="edge"/>
          <c:x val="0.23542650943045274"/>
          <c:y val="8.56823892712595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B8C2636-17FA-4C10-9673-BF3E74047B0F}" type="CATEGORYNAME">
                  <a:rPr lang="en-US">
                    <a:solidFill>
                      <a:schemeClr val="tx1"/>
                    </a:solidFill>
                  </a:rPr>
                  <a:pPr>
                    <a:defRPr/>
                  </a:pPr>
                  <a:t>[CATEGORY NAME]</a:t>
                </a:fld>
                <a:r>
                  <a:rPr lang="en-US" baseline="0">
                    <a:solidFill>
                      <a:schemeClr val="tx1"/>
                    </a:solidFill>
                  </a:rPr>
                  <a:t>
</a:t>
                </a:r>
                <a:fld id="{6F3991B4-C4A7-469C-8D93-BD0E014C61C6}" type="PERCENTAGE">
                  <a:rPr lang="en-US" baseline="0">
                    <a:solidFill>
                      <a:schemeClr val="tx1"/>
                    </a:solidFill>
                  </a:rPr>
                  <a:pPr>
                    <a:defRPr/>
                  </a:pPr>
                  <a:t>[PERCENTAGE]</a:t>
                </a:fld>
                <a:endParaRPr lang="en-US" baseline="0">
                  <a:solidFill>
                    <a:schemeClr val="tx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2D07EAC-F319-448A-8473-20A36A93249C}" type="CATEGORYNAME">
                  <a:rPr lang="en-US">
                    <a:solidFill>
                      <a:schemeClr val="tx1"/>
                    </a:solidFill>
                  </a:rPr>
                  <a:pPr>
                    <a:defRPr/>
                  </a:pPr>
                  <a:t>[CATEGORY NAME]</a:t>
                </a:fld>
                <a:r>
                  <a:rPr lang="en-US" baseline="0">
                    <a:solidFill>
                      <a:schemeClr val="tx1"/>
                    </a:solidFill>
                  </a:rPr>
                  <a:t>
</a:t>
                </a:r>
                <a:fld id="{CF9536E4-C749-4EF7-A7A2-D58268ED3EF5}" type="PERCENTAGE">
                  <a:rPr lang="en-US" baseline="0">
                    <a:solidFill>
                      <a:schemeClr val="tx1"/>
                    </a:solidFill>
                  </a:rPr>
                  <a:pPr>
                    <a:defRPr/>
                  </a:pPr>
                  <a:t>[PERCENTAGE]</a:t>
                </a:fld>
                <a:endParaRPr lang="en-US" baseline="0">
                  <a:solidFill>
                    <a:schemeClr val="tx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8F97DA7-B4C9-4F39-A160-FA525DAD688D}" type="CATEGORYNAME">
                  <a:rPr lang="en-US">
                    <a:solidFill>
                      <a:schemeClr val="tx1"/>
                    </a:solidFill>
                  </a:rPr>
                  <a:pPr>
                    <a:defRPr/>
                  </a:pPr>
                  <a:t>[CATEGORY NAME]</a:t>
                </a:fld>
                <a:r>
                  <a:rPr lang="en-US" baseline="0">
                    <a:solidFill>
                      <a:schemeClr val="tx1"/>
                    </a:solidFill>
                  </a:rPr>
                  <a:t>
</a:t>
                </a:r>
                <a:fld id="{13A0B492-2C71-446B-A50F-03795C3992FD}" type="PERCENTAGE">
                  <a:rPr lang="en-US" baseline="0">
                    <a:solidFill>
                      <a:schemeClr val="tx1"/>
                    </a:solidFill>
                  </a:rPr>
                  <a:pPr>
                    <a:defRPr/>
                  </a:pPr>
                  <a:t>[PERCENTAGE]</a:t>
                </a:fld>
                <a:endParaRPr lang="en-US" baseline="0">
                  <a:solidFill>
                    <a:schemeClr val="tx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manualLayout>
          <c:layoutTarget val="inner"/>
          <c:xMode val="edge"/>
          <c:yMode val="edge"/>
          <c:x val="0.18643689307312081"/>
          <c:y val="0.226233830866819"/>
          <c:w val="0.4774241920271699"/>
          <c:h val="0.66230248084289012"/>
        </c:manualLayout>
      </c:layout>
      <c:doughnutChart>
        <c:varyColors val="1"/>
        <c:ser>
          <c:idx val="0"/>
          <c:order val="0"/>
          <c:tx>
            <c:strRef>
              <c:f>'Pivot Analysis'!$E$14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49-4552-B934-73E1DC9BF23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49-4552-B934-73E1DC9BF23B}"/>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49-4552-B934-73E1DC9BF23B}"/>
              </c:ext>
            </c:extLst>
          </c:dPt>
          <c:dLbls>
            <c:dLbl>
              <c:idx val="0"/>
              <c:tx>
                <c:rich>
                  <a:bodyPr/>
                  <a:lstStyle/>
                  <a:p>
                    <a:fld id="{1B8C2636-17FA-4C10-9673-BF3E74047B0F}" type="CATEGORYNAME">
                      <a:rPr lang="en-US">
                        <a:solidFill>
                          <a:schemeClr val="tx1"/>
                        </a:solidFill>
                      </a:rPr>
                      <a:pPr/>
                      <a:t>[CATEGORY NAME]</a:t>
                    </a:fld>
                    <a:r>
                      <a:rPr lang="en-US" baseline="0">
                        <a:solidFill>
                          <a:schemeClr val="tx1"/>
                        </a:solidFill>
                      </a:rPr>
                      <a:t>
</a:t>
                    </a:r>
                    <a:fld id="{6F3991B4-C4A7-469C-8D93-BD0E014C61C6}"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649-4552-B934-73E1DC9BF23B}"/>
                </c:ext>
              </c:extLst>
            </c:dLbl>
            <c:dLbl>
              <c:idx val="1"/>
              <c:tx>
                <c:rich>
                  <a:bodyPr/>
                  <a:lstStyle/>
                  <a:p>
                    <a:fld id="{D2D07EAC-F319-448A-8473-20A36A93249C}" type="CATEGORYNAME">
                      <a:rPr lang="en-US">
                        <a:solidFill>
                          <a:schemeClr val="tx1"/>
                        </a:solidFill>
                      </a:rPr>
                      <a:pPr/>
                      <a:t>[CATEGORY NAME]</a:t>
                    </a:fld>
                    <a:r>
                      <a:rPr lang="en-US" baseline="0">
                        <a:solidFill>
                          <a:schemeClr val="tx1"/>
                        </a:solidFill>
                      </a:rPr>
                      <a:t>
</a:t>
                    </a:r>
                    <a:fld id="{CF9536E4-C749-4EF7-A7A2-D58268ED3EF5}"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649-4552-B934-73E1DC9BF23B}"/>
                </c:ext>
              </c:extLst>
            </c:dLbl>
            <c:dLbl>
              <c:idx val="2"/>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8F97DA7-B4C9-4F39-A160-FA525DAD688D}" type="CATEGORYNAME">
                      <a:rPr lang="en-US">
                        <a:solidFill>
                          <a:schemeClr val="tx1"/>
                        </a:solidFill>
                      </a:rPr>
                      <a:pPr>
                        <a:defRPr/>
                      </a:pPr>
                      <a:t>[CATEGORY NAME]</a:t>
                    </a:fld>
                    <a:r>
                      <a:rPr lang="en-US" baseline="0">
                        <a:solidFill>
                          <a:schemeClr val="tx1"/>
                        </a:solidFill>
                      </a:rPr>
                      <a:t>
</a:t>
                    </a:r>
                    <a:fld id="{13A0B492-2C71-446B-A50F-03795C3992FD}" type="PERCENTAGE">
                      <a:rPr lang="en-US" baseline="0">
                        <a:solidFill>
                          <a:schemeClr val="tx1"/>
                        </a:solidFill>
                      </a:rPr>
                      <a:pPr>
                        <a:defRPr/>
                      </a:pPr>
                      <a:t>[PERCENTAGE]</a:t>
                    </a:fld>
                    <a:endParaRPr lang="en-US" baseline="0">
                      <a:solidFill>
                        <a:schemeClr val="tx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5-7649-4552-B934-73E1DC9BF23B}"/>
                </c:ext>
              </c:extLst>
            </c:dLbl>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Analysis'!$D$15:$D$18</c:f>
              <c:strCache>
                <c:ptCount val="3"/>
                <c:pt idx="0">
                  <c:v>Active</c:v>
                </c:pt>
                <c:pt idx="1">
                  <c:v>Inactive</c:v>
                </c:pt>
                <c:pt idx="2">
                  <c:v>Moderately Active</c:v>
                </c:pt>
              </c:strCache>
            </c:strRef>
          </c:cat>
          <c:val>
            <c:numRef>
              <c:f>'Pivot Analysis'!$E$15:$E$18</c:f>
              <c:numCache>
                <c:formatCode>General</c:formatCode>
                <c:ptCount val="3"/>
                <c:pt idx="0">
                  <c:v>67</c:v>
                </c:pt>
                <c:pt idx="1">
                  <c:v>28</c:v>
                </c:pt>
                <c:pt idx="2">
                  <c:v>5</c:v>
                </c:pt>
              </c:numCache>
            </c:numRef>
          </c:val>
          <c:extLst>
            <c:ext xmlns:c16="http://schemas.microsoft.com/office/drawing/2014/chart" uri="{C3380CC4-5D6E-409C-BE32-E72D297353CC}">
              <c16:uniqueId val="{00000006-7649-4552-B934-73E1DC9BF23B}"/>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[GitHub_Analytics_Dashboard.xlsx]Pivot Analysis!PivotCreationTrend</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Repository Creation Trend</a:t>
            </a:r>
          </a:p>
        </c:rich>
      </c:tx>
      <c:layout>
        <c:manualLayout>
          <c:xMode val="edge"/>
          <c:yMode val="edge"/>
          <c:x val="7.3242743495789062E-2"/>
          <c:y val="5.01310232660923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6961401599993E-2"/>
          <c:y val="0.20381171799908701"/>
          <c:w val="0.92181369832960036"/>
          <c:h val="0.64832124289733084"/>
        </c:manualLayout>
      </c:layout>
      <c:lineChart>
        <c:grouping val="standard"/>
        <c:varyColors val="0"/>
        <c:ser>
          <c:idx val="0"/>
          <c:order val="0"/>
          <c:tx>
            <c:strRef>
              <c:f>'Pivot Analysis'!$E$22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Analysis'!$D$23:$D$40</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'Pivot Analysis'!$E$23:$E$40</c:f>
              <c:numCache>
                <c:formatCode>General</c:formatCode>
                <c:ptCount val="17"/>
                <c:pt idx="0">
                  <c:v>2</c:v>
                </c:pt>
                <c:pt idx="1">
                  <c:v>1</c:v>
                </c:pt>
                <c:pt idx="2">
                  <c:v>2</c:v>
                </c:pt>
                <c:pt idx="3">
                  <c:v>2</c:v>
                </c:pt>
                <c:pt idx="4">
                  <c:v>3</c:v>
                </c:pt>
                <c:pt idx="5">
                  <c:v>5</c:v>
                </c:pt>
                <c:pt idx="6">
                  <c:v>9</c:v>
                </c:pt>
                <c:pt idx="7">
                  <c:v>12</c:v>
                </c:pt>
                <c:pt idx="8">
                  <c:v>4</c:v>
                </c:pt>
                <c:pt idx="9">
                  <c:v>10</c:v>
                </c:pt>
                <c:pt idx="10">
                  <c:v>14</c:v>
                </c:pt>
                <c:pt idx="11">
                  <c:v>10</c:v>
                </c:pt>
                <c:pt idx="12">
                  <c:v>7</c:v>
                </c:pt>
                <c:pt idx="13">
                  <c:v>7</c:v>
                </c:pt>
                <c:pt idx="14">
                  <c:v>3</c:v>
                </c:pt>
                <c:pt idx="15">
                  <c:v>6</c:v>
                </c:pt>
                <c:pt idx="16">
                  <c:v>3</c:v>
                </c:pt>
              </c:numCache>
            </c:numRef>
          </c:val>
          <c:smooth val="0"/>
          <c:extLst>
            <c:ext xmlns:c16="http://schemas.microsoft.com/office/drawing/2014/chart" uri="{C3380CC4-5D6E-409C-BE32-E72D297353CC}">
              <c16:uniqueId val="{00000000-C0D2-42D8-8221-C8F353E4F4C2}"/>
            </c:ext>
          </c:extLst>
        </c:ser>
        <c:dLbls>
          <c:dLblPos val="ctr"/>
          <c:showLegendKey val="0"/>
          <c:showVal val="1"/>
          <c:showCatName val="0"/>
          <c:showSerName val="0"/>
          <c:showPercent val="0"/>
          <c:showBubbleSize val="0"/>
        </c:dLbls>
        <c:marker val="1"/>
        <c:smooth val="0"/>
        <c:axId val="214485312"/>
        <c:axId val="895318959"/>
      </c:lineChart>
      <c:catAx>
        <c:axId val="214485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5318959"/>
        <c:crosses val="autoZero"/>
        <c:auto val="1"/>
        <c:lblAlgn val="ctr"/>
        <c:lblOffset val="100"/>
        <c:noMultiLvlLbl val="0"/>
      </c:catAx>
      <c:valAx>
        <c:axId val="8953189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448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23644</xdr:colOff>
      <xdr:row>26</xdr:row>
      <xdr:rowOff>13510</xdr:rowOff>
    </xdr:from>
    <xdr:to>
      <xdr:col>15</xdr:col>
      <xdr:colOff>245241</xdr:colOff>
      <xdr:row>40</xdr:row>
      <xdr:rowOff>48638</xdr:rowOff>
    </xdr:to>
    <mc:AlternateContent xmlns:mc="http://schemas.openxmlformats.org/markup-compatibility/2006" xmlns:a14="http://schemas.microsoft.com/office/drawing/2010/main">
      <mc:Choice Requires="a14">
        <xdr:graphicFrame macro="">
          <xdr:nvGraphicFramePr>
            <xdr:cNvPr id="8" name="Languages">
              <a:extLst>
                <a:ext uri="{FF2B5EF4-FFF2-40B4-BE49-F238E27FC236}">
                  <a16:creationId xmlns:a16="http://schemas.microsoft.com/office/drawing/2014/main" id="{10647EE2-0E19-43A2-A81C-057E65ABDED9}"/>
                </a:ext>
              </a:extLst>
            </xdr:cNvPr>
            <xdr:cNvGraphicFramePr/>
          </xdr:nvGraphicFramePr>
          <xdr:xfrm>
            <a:off x="0" y="0"/>
            <a:ext cx="0" cy="0"/>
          </xdr:xfrm>
          <a:graphic>
            <a:graphicData uri="http://schemas.microsoft.com/office/drawing/2010/slicer">
              <sle:slicer xmlns:sle="http://schemas.microsoft.com/office/drawing/2010/slicer" name="Languages"/>
            </a:graphicData>
          </a:graphic>
        </xdr:graphicFrame>
      </mc:Choice>
      <mc:Fallback xmlns="">
        <xdr:sp macro="" textlink="">
          <xdr:nvSpPr>
            <xdr:cNvPr id="0" name=""/>
            <xdr:cNvSpPr>
              <a:spLocks noTextEdit="1"/>
            </xdr:cNvSpPr>
          </xdr:nvSpPr>
          <xdr:spPr>
            <a:xfrm>
              <a:off x="7380885" y="4935855"/>
              <a:ext cx="1255115" cy="2610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12</xdr:row>
      <xdr:rowOff>1</xdr:rowOff>
    </xdr:from>
    <xdr:to>
      <xdr:col>15</xdr:col>
      <xdr:colOff>297792</xdr:colOff>
      <xdr:row>16</xdr:row>
      <xdr:rowOff>140138</xdr:rowOff>
    </xdr:to>
    <mc:AlternateContent xmlns:mc="http://schemas.openxmlformats.org/markup-compatibility/2006" xmlns:a14="http://schemas.microsoft.com/office/drawing/2010/main">
      <mc:Choice Requires="a14">
        <xdr:graphicFrame macro="">
          <xdr:nvGraphicFramePr>
            <xdr:cNvPr id="6" name="License Availability">
              <a:extLst>
                <a:ext uri="{FF2B5EF4-FFF2-40B4-BE49-F238E27FC236}">
                  <a16:creationId xmlns:a16="http://schemas.microsoft.com/office/drawing/2014/main" id="{CCF20079-6EDD-48C0-8229-183CB5590500}"/>
                </a:ext>
              </a:extLst>
            </xdr:cNvPr>
            <xdr:cNvGraphicFramePr/>
          </xdr:nvGraphicFramePr>
          <xdr:xfrm>
            <a:off x="0" y="0"/>
            <a:ext cx="0" cy="0"/>
          </xdr:xfrm>
          <a:graphic>
            <a:graphicData uri="http://schemas.microsoft.com/office/drawing/2010/slicer">
              <sle:slicer xmlns:sle="http://schemas.microsoft.com/office/drawing/2010/slicer" name="License Availability"/>
            </a:graphicData>
          </a:graphic>
        </xdr:graphicFrame>
      </mc:Choice>
      <mc:Fallback xmlns="">
        <xdr:sp macro="" textlink="">
          <xdr:nvSpPr>
            <xdr:cNvPr id="0" name=""/>
            <xdr:cNvSpPr>
              <a:spLocks noTextEdit="1"/>
            </xdr:cNvSpPr>
          </xdr:nvSpPr>
          <xdr:spPr>
            <a:xfrm>
              <a:off x="7395341" y="2347311"/>
              <a:ext cx="1205625" cy="875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594360</xdr:colOff>
      <xdr:row>11</xdr:row>
      <xdr:rowOff>175260</xdr:rowOff>
    </xdr:from>
    <xdr:to>
      <xdr:col>12</xdr:col>
      <xdr:colOff>30480</xdr:colOff>
      <xdr:row>25</xdr:row>
      <xdr:rowOff>15240</xdr:rowOff>
    </xdr:to>
    <xdr:graphicFrame macro="">
      <xdr:nvGraphicFramePr>
        <xdr:cNvPr id="3" name="Repository Count by Language">
          <a:extLst>
            <a:ext uri="{FF2B5EF4-FFF2-40B4-BE49-F238E27FC236}">
              <a16:creationId xmlns:a16="http://schemas.microsoft.com/office/drawing/2014/main" id="{0BE063FD-9996-4149-8CBF-1DAB1B9BF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46206</xdr:colOff>
      <xdr:row>19</xdr:row>
      <xdr:rowOff>36072</xdr:rowOff>
    </xdr:from>
    <xdr:to>
      <xdr:col>15</xdr:col>
      <xdr:colOff>254000</xdr:colOff>
      <xdr:row>25</xdr:row>
      <xdr:rowOff>26547</xdr:rowOff>
    </xdr:to>
    <mc:AlternateContent xmlns:mc="http://schemas.openxmlformats.org/markup-compatibility/2006" xmlns:a14="http://schemas.microsoft.com/office/drawing/2010/main">
      <mc:Choice Requires="a14">
        <xdr:graphicFrame macro="">
          <xdr:nvGraphicFramePr>
            <xdr:cNvPr id="7" name="activity_status">
              <a:extLst>
                <a:ext uri="{FF2B5EF4-FFF2-40B4-BE49-F238E27FC236}">
                  <a16:creationId xmlns:a16="http://schemas.microsoft.com/office/drawing/2014/main" id="{E3A79521-2389-4584-9925-D71303FD50C2}"/>
                </a:ext>
              </a:extLst>
            </xdr:cNvPr>
            <xdr:cNvGraphicFramePr/>
          </xdr:nvGraphicFramePr>
          <xdr:xfrm>
            <a:off x="0" y="0"/>
            <a:ext cx="0" cy="0"/>
          </xdr:xfrm>
          <a:graphic>
            <a:graphicData uri="http://schemas.microsoft.com/office/drawing/2010/slicer">
              <sle:slicer xmlns:sle="http://schemas.microsoft.com/office/drawing/2010/slicer" name="activity_status"/>
            </a:graphicData>
          </a:graphic>
        </xdr:graphicFrame>
      </mc:Choice>
      <mc:Fallback xmlns="">
        <xdr:sp macro="" textlink="">
          <xdr:nvSpPr>
            <xdr:cNvPr id="0" name=""/>
            <xdr:cNvSpPr>
              <a:spLocks noTextEdit="1"/>
            </xdr:cNvSpPr>
          </xdr:nvSpPr>
          <xdr:spPr>
            <a:xfrm>
              <a:off x="7403447" y="3670900"/>
              <a:ext cx="1206277" cy="109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175260</xdr:rowOff>
    </xdr:from>
    <xdr:to>
      <xdr:col>5</xdr:col>
      <xdr:colOff>534276</xdr:colOff>
      <xdr:row>25</xdr:row>
      <xdr:rowOff>15240</xdr:rowOff>
    </xdr:to>
    <xdr:graphicFrame macro="">
      <xdr:nvGraphicFramePr>
        <xdr:cNvPr id="2" name="Top 10 Repositories by Stars">
          <a:extLst>
            <a:ext uri="{FF2B5EF4-FFF2-40B4-BE49-F238E27FC236}">
              <a16:creationId xmlns:a16="http://schemas.microsoft.com/office/drawing/2014/main" id="{25B2AB39-E31E-48B7-9932-1696E2ECA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595587</xdr:colOff>
      <xdr:row>26</xdr:row>
      <xdr:rowOff>7366</xdr:rowOff>
    </xdr:from>
    <xdr:to>
      <xdr:col>12</xdr:col>
      <xdr:colOff>16213</xdr:colOff>
      <xdr:row>40</xdr:row>
      <xdr:rowOff>32425</xdr:rowOff>
    </xdr:to>
    <xdr:graphicFrame macro="">
      <xdr:nvGraphicFramePr>
        <xdr:cNvPr id="9" name="Chart 1">
          <a:extLst>
            <a:ext uri="{FF2B5EF4-FFF2-40B4-BE49-F238E27FC236}">
              <a16:creationId xmlns:a16="http://schemas.microsoft.com/office/drawing/2014/main" id="{64F40A80-FBC8-18ED-5673-60307F6E9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17517</xdr:colOff>
      <xdr:row>25</xdr:row>
      <xdr:rowOff>175172</xdr:rowOff>
    </xdr:from>
    <xdr:to>
      <xdr:col>5</xdr:col>
      <xdr:colOff>525516</xdr:colOff>
      <xdr:row>40</xdr:row>
      <xdr:rowOff>31773</xdr:rowOff>
    </xdr:to>
    <xdr:graphicFrame macro="">
      <xdr:nvGraphicFramePr>
        <xdr:cNvPr id="10" name="Chart 2">
          <a:extLst>
            <a:ext uri="{FF2B5EF4-FFF2-40B4-BE49-F238E27FC236}">
              <a16:creationId xmlns:a16="http://schemas.microsoft.com/office/drawing/2014/main" id="{E8F29107-E5D5-17BC-637F-17F7831BC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273380</xdr:colOff>
      <xdr:row>27</xdr:row>
      <xdr:rowOff>157282</xdr:rowOff>
    </xdr:from>
    <xdr:ext cx="2626468" cy="264560"/>
    <xdr:sp macro="" textlink="">
      <xdr:nvSpPr>
        <xdr:cNvPr id="11" name="TextBox 10">
          <a:extLst>
            <a:ext uri="{FF2B5EF4-FFF2-40B4-BE49-F238E27FC236}">
              <a16:creationId xmlns:a16="http://schemas.microsoft.com/office/drawing/2014/main" id="{5A862DF2-A982-B7E7-E918-CFAA03C07884}"/>
            </a:ext>
          </a:extLst>
        </xdr:cNvPr>
        <xdr:cNvSpPr txBox="1"/>
      </xdr:nvSpPr>
      <xdr:spPr>
        <a:xfrm>
          <a:off x="273380" y="5263558"/>
          <a:ext cx="262646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Note: 2026 represents partial</a:t>
          </a:r>
          <a:r>
            <a:rPr lang="en-IN" sz="1100" baseline="0"/>
            <a:t>-year data.</a:t>
          </a:r>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 refreshedDate="46281.522020949073" createdVersion="8" refreshedVersion="8" minRefreshableVersion="3" recordCount="100" xr:uid="{AD8F0FCB-D439-4DDE-9CB2-D768ADA6B49A}">
  <cacheSource type="worksheet">
    <worksheetSource name="TopRepositories"/>
  </cacheSource>
  <cacheFields count="43">
    <cacheField name="repository_id" numFmtId="0">
      <sharedItems containsSemiMixedTypes="0" containsString="0" containsNumber="1" containsInteger="1" minValue="843222" maxValue="1210155353"/>
    </cacheField>
    <cacheField name="repository_name" numFmtId="0">
      <sharedItems/>
    </cacheField>
    <cacheField name="full_name" numFmtId="0">
      <sharedItems count="100">
        <s v="apache/superset"/>
        <s v="scikit-learn/scikit-learn"/>
        <s v="sansan0/TrendRadar"/>
        <s v="pandas-dev/pandas"/>
        <s v="metabase/metabase"/>
        <s v="streamlit/streamlit"/>
        <s v="K-Dense-AI/scientific-agent-skills"/>
        <s v="gradio-app/gradio"/>
        <s v="666ghj/BettaFish"/>
        <s v="microsoft/Data-Science-For-Beginners"/>
        <s v="gchq/CyberChef"/>
        <s v="AMAI-GmbH/AI-Expert-Roadmap"/>
        <s v="reflex-dev/reflex"/>
        <s v="dataease/dataease"/>
        <s v="lukasmasuch/best-of-ml-python"/>
        <s v="sinaptik-ai/pandas-ai"/>
        <s v="akfamily/akshare"/>
        <s v="airbytehq/airbyte"/>
        <s v="allinurl/goaccess"/>
        <s v="Kanaries/pygwalker"/>
        <s v="hicccc77/WeFlow"/>
        <s v="Data-Centric-AI-Community/fg-data-profiling"/>
        <s v="tangyudi/Ai-Learn"/>
        <s v="OpenRefine/OpenRefine"/>
        <s v="statsmodels/statsmodels"/>
        <s v="Yorko/mlcourse.ai"/>
        <s v="NVIDIA/cudf"/>
        <s v="gonum/gonum"/>
        <s v="jeecgboot/jimureport"/>
        <s v="growthbook/growthbook"/>
        <s v="flyteorg/flyte"/>
        <s v="ChatLab/ChatLab"/>
        <s v="Alluxio/alluxio"/>
        <s v="scikit-learn-contrib/imbalanced-learn"/>
        <s v="lance-format/lance"/>
        <s v="datajuicer/data-juicer"/>
        <s v="rhiever/Data-Analysis-and-Machine-Learning-Projects"/>
        <s v="cloudquery/cloudquery"/>
        <s v="qinwf/awesome-R"/>
        <s v="pachyderm/pachyderm"/>
        <s v="microsoft/TaskWeaver"/>
        <s v="airbnb/knowledge-repo"/>
        <s v="OpenSenseNova/SenseNova-Skills"/>
        <s v="sacridini/Awesome-Geospatial"/>
        <s v="cube2222/octosql"/>
        <s v="man-group/dtale"/>
        <s v="javascriptdata/danfojs"/>
        <s v="Nyandwi/machine_learning_complete"/>
        <s v="alandefreitas/matplotplusplus"/>
        <s v="SpiderClub/weibospider"/>
        <s v="has2k1/plotnine"/>
        <s v="Kanaries/Rath"/>
        <s v="r0f1/datascience"/>
        <s v="BrambleXu/pydata-notebook"/>
        <s v="ruc-datalab/DeepAnalyze"/>
        <s v="yihong0618/running_page"/>
        <s v="ndleah/python-mini-project"/>
        <s v="Moataz-Elmesmary/Data-Science-Roadmap"/>
        <s v="briefercloud/briefer"/>
        <s v="whoiskatrin/sql-translator"/>
        <s v="CodeCutTech/Data-science"/>
        <s v="ResidentMario/missingno"/>
        <s v="ycccccccy/echotrace"/>
        <s v="jtablesaw/tablesaw"/>
        <s v="VisActor/VTable"/>
        <s v="rio-labs/rio"/>
        <s v="krzjoa/awesome-python-data-science"/>
        <s v="ml-tooling/ml-workspace"/>
        <s v="antonycourtney/tad"/>
        <s v="root-project/root"/>
        <s v="pydata/pandas-datareader"/>
        <s v="Kanaries/graphic-walker"/>
        <s v="ChartGPU/ChartGPU"/>
        <s v="rob-med/awesome-TS-anomaly-detection"/>
        <s v="nidhaloff/igel"/>
        <s v="apache/devlake"/>
        <s v="jm199504/Financial-Knowledge-Graphs"/>
        <s v="fbdesignpro/sweetviz"/>
        <s v="aksnzhy/xlearn"/>
        <s v="ajcr/100-pandas-puzzles"/>
        <s v="deepnote/deepnote"/>
        <s v="hosseinmoein/DataFrame"/>
        <s v="multiprocessio/datastation"/>
        <s v="rilldata/rill"/>
        <s v="secretflow/secretflow"/>
        <s v="georgia-tech-db/evadb"/>
        <s v="mito-ds/mito"/>
        <s v="apache/hamilton"/>
        <s v="weijie-chen/Linear-Algebra-With-Python"/>
        <s v="justinzm/gopup"/>
        <s v="AAChartModel/AAChartKit-Swift"/>
        <s v="unslothai/hyperlearn"/>
        <s v="man-group/ArcticDB"/>
        <s v="elementary-data/elementary"/>
        <s v="lana-k/sqliteviz"/>
        <s v="thenaturalist/awesome-business-intelligence"/>
        <s v="running-elephant/datart"/>
        <s v="tabixio/tabix"/>
        <s v="Tanu-N-Prabhu/Python"/>
        <s v="justmarkham/pandas-videos"/>
      </sharedItems>
    </cacheField>
    <cacheField name="owner_username" numFmtId="0">
      <sharedItems/>
    </cacheField>
    <cacheField name="owner_type" numFmtId="0">
      <sharedItems/>
    </cacheField>
    <cacheField name="repository_url" numFmtId="0">
      <sharedItems/>
    </cacheField>
    <cacheField name="description" numFmtId="0">
      <sharedItems longText="1"/>
    </cacheField>
    <cacheField name="primary_language" numFmtId="0">
      <sharedItems count="14">
        <s v="Python"/>
        <s v="Clojure"/>
        <s v="Jupyter Notebook"/>
        <s v="JavaScript"/>
        <s v="Java"/>
        <s v="Not Specified"/>
        <s v="C"/>
        <s v="C++"/>
        <s v="Go"/>
        <s v="TypeScript"/>
        <s v="Rust"/>
        <s v="R"/>
        <s v="Swift"/>
        <s v="HTML"/>
      </sharedItems>
    </cacheField>
    <cacheField name="created_at" numFmtId="22">
      <sharedItems containsSemiMixedTypes="0" containsNonDate="0" containsDate="1" containsString="0" minDate="2010-08-17T15:13:38" maxDate="2026-04-14T11:51:51"/>
    </cacheField>
    <cacheField name="updated_at" numFmtId="22">
      <sharedItems containsSemiMixedTypes="0" containsNonDate="0" containsDate="1" containsString="0" minDate="2026-08-21T06:00:15" maxDate="2026-09-09T12:31:34"/>
    </cacheField>
    <cacheField name="pushed_at" numFmtId="22">
      <sharedItems containsSemiMixedTypes="0" containsNonDate="0" containsDate="1" containsString="0" minDate="2018-05-08T18:09:43" maxDate="2026-09-09T12:31:50"/>
    </cacheField>
    <cacheField name="size_kb" numFmtId="0">
      <sharedItems containsSemiMixedTypes="0" containsString="0" containsNumber="1" containsInteger="1" minValue="144" maxValue="2275696"/>
    </cacheField>
    <cacheField name="stars_count" numFmtId="0">
      <sharedItems containsSemiMixedTypes="0" containsString="0" containsNumber="1" containsInteger="1" minValue="2251" maxValue="74689"/>
    </cacheField>
    <cacheField name="watchers_count" numFmtId="0">
      <sharedItems containsSemiMixedTypes="0" containsString="0" containsNumber="1" containsInteger="1" minValue="2251" maxValue="74689"/>
    </cacheField>
    <cacheField name="forks_count" numFmtId="0">
      <sharedItems containsSemiMixedTypes="0" containsString="0" containsNumber="1" containsInteger="1" minValue="104" maxValue="27377"/>
    </cacheField>
    <cacheField name="open_issues_count" numFmtId="0">
      <sharedItems containsSemiMixedTypes="0" containsString="0" containsNumber="1" containsInteger="1" minValue="0" maxValue="4386"/>
    </cacheField>
    <cacheField name="default_branch" numFmtId="0">
      <sharedItems/>
    </cacheField>
    <cacheField name="topics" numFmtId="0">
      <sharedItems longText="1"/>
    </cacheField>
    <cacheField name="license_name" numFmtId="0">
      <sharedItems/>
    </cacheField>
    <cacheField name="homepage" numFmtId="0">
      <sharedItems/>
    </cacheField>
    <cacheField name="has_issues" numFmtId="0">
      <sharedItems/>
    </cacheField>
    <cacheField name="has_projects" numFmtId="0">
      <sharedItems/>
    </cacheField>
    <cacheField name="has_wiki" numFmtId="0">
      <sharedItems/>
    </cacheField>
    <cacheField name="has_pages" numFmtId="0">
      <sharedItems/>
    </cacheField>
    <cacheField name="is_fork" numFmtId="0">
      <sharedItems/>
    </cacheField>
    <cacheField name="is_archived" numFmtId="0">
      <sharedItems/>
    </cacheField>
    <cacheField name="is_disabled" numFmtId="0">
      <sharedItems/>
    </cacheField>
    <cacheField name="visibility" numFmtId="0">
      <sharedItems/>
    </cacheField>
    <cacheField name="repository_age_days" numFmtId="0">
      <sharedItems containsSemiMixedTypes="0" containsString="0" containsNumber="1" containsInteger="1" minValue="153" maxValue="5872"/>
    </cacheField>
    <cacheField name="days_since_update" numFmtId="0">
      <sharedItems containsSemiMixedTypes="0" containsString="0" containsNumber="1" containsInteger="1" minValue="5" maxValue="24"/>
    </cacheField>
    <cacheField name="days_since_last_push" numFmtId="0">
      <sharedItems containsSemiMixedTypes="0" containsString="0" containsNumber="1" containsInteger="1" minValue="5" maxValue="3051"/>
    </cacheField>
    <cacheField name="created_year" numFmtId="0">
      <sharedItems containsSemiMixedTypes="0" containsString="0" containsNumber="1" containsInteger="1" minValue="2010" maxValue="2026" count="17">
        <n v="2015"/>
        <n v="2010"/>
        <n v="2025"/>
        <n v="2019"/>
        <n v="2018"/>
        <n v="2024"/>
        <n v="2021"/>
        <n v="2016"/>
        <n v="2020"/>
        <n v="2022"/>
        <n v="2023"/>
        <n v="2013"/>
        <n v="2026"/>
        <n v="2012"/>
        <n v="2011"/>
        <n v="2017"/>
        <n v="2014"/>
      </sharedItems>
    </cacheField>
    <cacheField name="created_month" numFmtId="0">
      <sharedItems/>
    </cacheField>
    <cacheField name="updated_year" numFmtId="0">
      <sharedItems containsSemiMixedTypes="0" containsString="0" containsNumber="1" containsInteger="1" minValue="2026" maxValue="2026"/>
    </cacheField>
    <cacheField name="size_mb" numFmtId="0">
      <sharedItems containsSemiMixedTypes="0" containsString="0" containsNumber="1" minValue="0.14000000000000001" maxValue="2222.36"/>
    </cacheField>
    <cacheField name="repository_type" numFmtId="0">
      <sharedItems/>
    </cacheField>
    <cacheField name="has_description" numFmtId="0">
      <sharedItems/>
    </cacheField>
    <cacheField name="activity_status" numFmtId="0">
      <sharedItems count="3">
        <s v="Active"/>
        <s v="Inactive"/>
        <s v="Moderately Active"/>
      </sharedItems>
    </cacheField>
    <cacheField name="popularity_score" numFmtId="0">
      <sharedItems containsSemiMixedTypes="0" containsString="0" containsNumber="1" containsInteger="1" minValue="2623" maxValue="121974"/>
    </cacheField>
    <cacheField name="analysis_as_of_date" numFmtId="0">
      <sharedItems/>
    </cacheField>
    <cacheField name="has_license" numFmtId="0">
      <sharedItems count="2">
        <s v="Yes"/>
        <s v="No"/>
      </sharedItems>
    </cacheField>
    <cacheField name="fork_to_star_ratio" numFmtId="0">
      <sharedItems containsSemiMixedTypes="0" containsString="0" containsNumber="1" minValue="3.0599999999999999E-2" maxValue="1.3251999999999999"/>
    </cacheField>
    <cacheField name="issues_per_1000_stars" numFmtId="0">
      <sharedItems containsSemiMixedTypes="0" containsString="0" containsNumber="1" minValue="0" maxValue="241.41"/>
    </cacheField>
  </cacheFields>
  <extLst>
    <ext xmlns:x14="http://schemas.microsoft.com/office/spreadsheetml/2009/9/main" uri="{725AE2AE-9491-48be-B2B4-4EB974FC3084}">
      <x14:pivotCacheDefinition pivotCacheId="635339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39464018"/>
    <s v="superset"/>
    <x v="0"/>
    <s v="apache"/>
    <s v="Organization"/>
    <s v="https://github.com/apache/superset"/>
    <s v="Apache Superset is a Data Visualization and Data Exploration Platform"/>
    <x v="0"/>
    <d v="2015-07-22T00:25:34"/>
    <d v="2026-09-09T11:09:54"/>
    <d v="2026-09-09T11:09:15"/>
    <n v="1132012"/>
    <n v="74689"/>
    <n v="74689"/>
    <n v="18236"/>
    <n v="591"/>
    <s v="master"/>
    <s v="analytics, apache, apache-superset, asf, bi, business-analytics, business-intelligence, data-analysis, data-analytics, data-engineering, data-science, data-visualization, data-viz, flask, python, react, sql-editor, superset"/>
    <s v="Apache License 2.0"/>
    <s v="https://superset.apache.org/"/>
    <b v="1"/>
    <b v="1"/>
    <b v="1"/>
    <b v="1"/>
    <b v="0"/>
    <b v="0"/>
    <b v="0"/>
    <s v="public"/>
    <n v="4073"/>
    <n v="5"/>
    <n v="5"/>
    <x v="0"/>
    <s v="July"/>
    <n v="2026"/>
    <n v="1105.48"/>
    <s v="Original"/>
    <s v="Yes"/>
    <x v="0"/>
    <n v="111161"/>
    <s v="2026-09-15T00:00:00+00:00"/>
    <x v="0"/>
    <n v="0.2442"/>
    <n v="7.91"/>
  </r>
  <r>
    <n v="843222"/>
    <s v="scikit-learn"/>
    <x v="1"/>
    <s v="scikit-learn"/>
    <s v="Organization"/>
    <s v="https://github.com/scikit-learn/scikit-learn"/>
    <s v="scikit-learn: machine learning in Python"/>
    <x v="0"/>
    <d v="2010-08-17T15:13:38"/>
    <d v="2026-09-09T08:28:09"/>
    <d v="2026-09-08T15:54:38"/>
    <n v="187029"/>
    <n v="67220"/>
    <n v="67220"/>
    <n v="27377"/>
    <n v="2149"/>
    <s v="main"/>
    <s v="data-analysis, data-science, machine-learning, python, statistics"/>
    <s v="BSD 3-Clause &quot;New&quot; or &quot;Revised&quot; License"/>
    <s v="https://scikit-learn.org"/>
    <b v="1"/>
    <b v="1"/>
    <b v="1"/>
    <b v="0"/>
    <b v="0"/>
    <b v="0"/>
    <b v="0"/>
    <s v="public"/>
    <n v="5872"/>
    <n v="5"/>
    <n v="6"/>
    <x v="1"/>
    <s v="August"/>
    <n v="2026"/>
    <n v="182.65"/>
    <s v="Original"/>
    <s v="Yes"/>
    <x v="0"/>
    <n v="121974"/>
    <s v="2026-09-15T00:00:00+00:00"/>
    <x v="0"/>
    <n v="0.4073"/>
    <n v="31.97"/>
  </r>
  <r>
    <n v="974186260"/>
    <s v="TrendRadar"/>
    <x v="2"/>
    <s v="sansan0"/>
    <s v="User"/>
    <s v="https://github.com/sansan0/TrendRadar"/>
    <s v="⭐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
    <x v="0"/>
    <d v="2025-04-28T17:12:16"/>
    <d v="2026-09-09T11:40:16"/>
    <d v="2026-09-03T18:04:00"/>
    <n v="32478"/>
    <n v="62136"/>
    <n v="62136"/>
    <n v="24886"/>
    <n v="59"/>
    <s v="master"/>
    <s v="ai, bark, data-analysis, docker, hot-news, llm, mail, mcp, mcp-server, news, ntfy, python, rss, trending-topics, wechat, wework"/>
    <s v="GNU General Public License v3.0"/>
    <s v="https://trendradar.sandev.cc"/>
    <b v="1"/>
    <b v="0"/>
    <b v="0"/>
    <b v="1"/>
    <b v="0"/>
    <b v="0"/>
    <b v="0"/>
    <s v="public"/>
    <n v="504"/>
    <n v="5"/>
    <n v="11"/>
    <x v="2"/>
    <s v="April"/>
    <n v="2026"/>
    <n v="31.72"/>
    <s v="Original"/>
    <s v="Yes"/>
    <x v="0"/>
    <n v="111908"/>
    <s v="2026-09-15T00:00:00+00:00"/>
    <x v="0"/>
    <n v="0.40050000000000002"/>
    <n v="0.95"/>
  </r>
  <r>
    <n v="858127"/>
    <s v="pandas"/>
    <x v="3"/>
    <s v="pandas-dev"/>
    <s v="Organization"/>
    <s v="https://github.com/pandas-dev/pandas"/>
    <s v="Flexible and powerful data analysis / manipulation library for Python, providing labeled data structures similar to R data.frame objects, statistical functions, and much more"/>
    <x v="0"/>
    <d v="2010-08-24T07:07:33"/>
    <d v="2026-09-09T12:27:15"/>
    <d v="2026-09-09T02:23:34"/>
    <n v="412077"/>
    <n v="49705"/>
    <n v="49705"/>
    <n v="20358"/>
    <n v="2730"/>
    <s v="main"/>
    <s v="alignment, data-analysis, data-science, flexible, pandas, python"/>
    <s v="BSD 3-Clause &quot;New&quot; or &quot;Revised&quot; License"/>
    <s v="https://pandas.pydata.org"/>
    <b v="1"/>
    <b v="1"/>
    <b v="0"/>
    <b v="0"/>
    <b v="0"/>
    <b v="0"/>
    <b v="0"/>
    <s v="public"/>
    <n v="5865"/>
    <n v="5"/>
    <n v="6"/>
    <x v="1"/>
    <s v="August"/>
    <n v="2026"/>
    <n v="402.42"/>
    <s v="Original"/>
    <s v="Yes"/>
    <x v="0"/>
    <n v="90421"/>
    <s v="2026-09-15T00:00:00+00:00"/>
    <x v="0"/>
    <n v="0.40960000000000002"/>
    <n v="54.92"/>
  </r>
  <r>
    <n v="30203935"/>
    <s v="metabase"/>
    <x v="4"/>
    <s v="metabase"/>
    <s v="Organization"/>
    <s v="https://github.com/metabase/metabase"/>
    <s v="The easy-to-use open source Business Intelligence and Embedded Analytics tool that lets everyone work with data :bar_chart:"/>
    <x v="1"/>
    <d v="2015-02-03T00:55:47"/>
    <d v="2026-09-09T12:31:34"/>
    <d v="2026-09-09T12:29:59"/>
    <n v="2275696"/>
    <n v="49146"/>
    <n v="49146"/>
    <n v="6801"/>
    <n v="4386"/>
    <s v="master"/>
    <s v="analytics, bi, business-intelligence, businessintelligence, clojure, dashboard, data, data-analysis, data-visualization, database, metabase, mysql, postgres, postgresql, reporting, slack, sql-editor, visualization"/>
    <s v="Other"/>
    <s v="https://metabase.com"/>
    <b v="1"/>
    <b v="0"/>
    <b v="0"/>
    <b v="0"/>
    <b v="0"/>
    <b v="0"/>
    <b v="0"/>
    <s v="public"/>
    <n v="4242"/>
    <n v="5"/>
    <n v="5"/>
    <x v="0"/>
    <s v="February"/>
    <n v="2026"/>
    <n v="2222.36"/>
    <s v="Original"/>
    <s v="Yes"/>
    <x v="0"/>
    <n v="62748"/>
    <s v="2026-09-15T00:00:00+00:00"/>
    <x v="0"/>
    <n v="0.1384"/>
    <n v="89.24"/>
  </r>
  <r>
    <n v="204086862"/>
    <s v="streamlit"/>
    <x v="5"/>
    <s v="streamlit"/>
    <s v="Organization"/>
    <s v="https://github.com/streamlit/streamlit"/>
    <s v="Streamlit — A faster way to build and share data apps."/>
    <x v="0"/>
    <d v="2019-08-24T05:44:52"/>
    <d v="2026-09-09T11:28:22"/>
    <d v="2026-09-09T10:07:14"/>
    <n v="1086195"/>
    <n v="45718"/>
    <n v="45718"/>
    <n v="4376"/>
    <n v="1170"/>
    <s v="develop"/>
    <s v="data-analysis, data-science, data-visualization, deep-learning, developer-tools, machine-learning, python, streamlit"/>
    <s v="Apache License 2.0"/>
    <s v="https://streamlit.io"/>
    <b v="1"/>
    <b v="0"/>
    <b v="0"/>
    <b v="0"/>
    <b v="0"/>
    <b v="0"/>
    <b v="0"/>
    <s v="public"/>
    <n v="2578"/>
    <n v="5"/>
    <n v="5"/>
    <x v="3"/>
    <s v="August"/>
    <n v="2026"/>
    <n v="1060.74"/>
    <s v="Original"/>
    <s v="Yes"/>
    <x v="0"/>
    <n v="54470"/>
    <s v="2026-09-15T00:00:00+00:00"/>
    <x v="0"/>
    <n v="9.5699999999999993E-2"/>
    <n v="25.59"/>
  </r>
  <r>
    <n v="1079456184"/>
    <s v="scientific-agent-skills"/>
    <x v="6"/>
    <s v="K-Dense-AI"/>
    <s v="Organization"/>
    <s v="https://github.com/K-Dense-AI/scientific-agent-skills"/>
    <s v="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
    <x v="0"/>
    <d v="2025-10-20T02:24:15"/>
    <d v="2026-09-09T12:30:26"/>
    <d v="2026-09-07T15:05:27"/>
    <n v="249602"/>
    <n v="43951"/>
    <n v="43951"/>
    <n v="3993"/>
    <n v="31"/>
    <s v="main"/>
    <s v="agent-skills, ai-scientist, bioinformatics, chemoinformatics, claude, claude-skills, claudecode, clinical-research, computational-biology, data-analysis, drug-discovery, genomics, materials-science, metabolomics, proteomics, scientific-computing, scientific-visualization"/>
    <s v="MIT License"/>
    <s v="https://arxiv.org/abs/2609.00065"/>
    <b v="1"/>
    <b v="0"/>
    <b v="0"/>
    <b v="0"/>
    <b v="0"/>
    <b v="0"/>
    <b v="0"/>
    <s v="public"/>
    <n v="330"/>
    <n v="5"/>
    <n v="7"/>
    <x v="2"/>
    <s v="October"/>
    <n v="2026"/>
    <n v="243.75"/>
    <s v="Original"/>
    <s v="Yes"/>
    <x v="0"/>
    <n v="51937"/>
    <s v="2026-09-15T00:00:00+00:00"/>
    <x v="0"/>
    <n v="9.0899999999999995E-2"/>
    <n v="0.71"/>
  </r>
  <r>
    <n v="162405963"/>
    <s v="gradio"/>
    <x v="7"/>
    <s v="gradio-app"/>
    <s v="Organization"/>
    <s v="https://github.com/gradio-app/gradio"/>
    <s v="Build and share delightful machine learning apps, all in Python. 🌟 Star to support our work!"/>
    <x v="0"/>
    <d v="2018-12-19T13:54:04"/>
    <d v="2026-09-09T08:33:05"/>
    <d v="2026-09-09T07:21:59"/>
    <n v="359297"/>
    <n v="43494"/>
    <n v="43494"/>
    <n v="3591"/>
    <n v="152"/>
    <s v="main"/>
    <s v="data-analysis, data-science, data-visualization, deep-learning, deploy, gradio, gradio-interface, interface, machine-learning, models, python, python-notebook, ui, ui-components"/>
    <s v="Apache License 2.0"/>
    <s v="http://www.gradio.app"/>
    <b v="1"/>
    <b v="1"/>
    <b v="1"/>
    <b v="0"/>
    <b v="0"/>
    <b v="0"/>
    <b v="0"/>
    <s v="public"/>
    <n v="2826"/>
    <n v="5"/>
    <n v="5"/>
    <x v="4"/>
    <s v="December"/>
    <n v="2026"/>
    <n v="350.88"/>
    <s v="Original"/>
    <s v="Yes"/>
    <x v="0"/>
    <n v="50676"/>
    <s v="2026-09-15T00:00:00+00:00"/>
    <x v="0"/>
    <n v="8.2600000000000007E-2"/>
    <n v="3.49"/>
  </r>
  <r>
    <n v="822604462"/>
    <s v="BettaFish"/>
    <x v="8"/>
    <s v="666ghj"/>
    <s v="User"/>
    <s v="https://github.com/666ghj/BettaFish"/>
    <s v="微舆：人人可用的多Agent舆情分析助手，打破信息茧房，还原舆情原貌，预测未来走向，辅助决策！从0实现，不依赖任何框架。"/>
    <x v="0"/>
    <d v="2024-07-01T18:41:38"/>
    <d v="2026-09-09T10:35:05"/>
    <d v="2026-09-04T15:17:38"/>
    <n v="192572"/>
    <n v="42172"/>
    <n v="42172"/>
    <n v="7619"/>
    <n v="5"/>
    <s v="main"/>
    <s v="agent-framework, data-analysis, deep-research, deep-search, llms, multi-agent-system, nlp, public-opinion-analysis, python3, sentiment-analysis"/>
    <s v="GNU General Public License v2.0"/>
    <s v="https://deepwiki.com/666ghj/BettaFish"/>
    <b v="1"/>
    <b v="1"/>
    <b v="1"/>
    <b v="0"/>
    <b v="0"/>
    <b v="0"/>
    <b v="0"/>
    <s v="public"/>
    <n v="805"/>
    <n v="5"/>
    <n v="10"/>
    <x v="5"/>
    <s v="July"/>
    <n v="2026"/>
    <n v="188.06"/>
    <s v="Original"/>
    <s v="Yes"/>
    <x v="0"/>
    <n v="57410"/>
    <s v="2026-09-15T00:00:00+00:00"/>
    <x v="0"/>
    <n v="0.1807"/>
    <n v="0.12"/>
  </r>
  <r>
    <n v="344191198"/>
    <s v="Data-Science-For-Beginners"/>
    <x v="9"/>
    <s v="microsoft"/>
    <s v="Organization"/>
    <s v="https://github.com/microsoft/Data-Science-For-Beginners"/>
    <s v="10 Weeks, 20 Lessons, Data Science for All!"/>
    <x v="2"/>
    <d v="2021-03-03T22:00:15"/>
    <d v="2026-09-09T10:57:24"/>
    <d v="2026-09-07T06:06:02"/>
    <n v="1845546"/>
    <n v="36888"/>
    <n v="36888"/>
    <n v="7461"/>
    <n v="13"/>
    <s v="main"/>
    <s v="data-analysis, data-science, data-visualization, microsoft-for-beginners, pandas, python"/>
    <s v="MIT License"/>
    <s v="Not Available"/>
    <b v="1"/>
    <b v="0"/>
    <b v="0"/>
    <b v="1"/>
    <b v="0"/>
    <b v="0"/>
    <b v="0"/>
    <s v="public"/>
    <n v="2021"/>
    <n v="5"/>
    <n v="7"/>
    <x v="6"/>
    <s v="March"/>
    <n v="2026"/>
    <n v="1802.29"/>
    <s v="Original"/>
    <s v="Yes"/>
    <x v="0"/>
    <n v="51810"/>
    <s v="2026-09-15T00:00:00+00:00"/>
    <x v="0"/>
    <n v="0.20230000000000001"/>
    <n v="0.35"/>
  </r>
  <r>
    <n v="74962515"/>
    <s v="CyberChef"/>
    <x v="10"/>
    <s v="gchq"/>
    <s v="Organization"/>
    <s v="https://github.com/gchq/CyberChef"/>
    <s v="The Cyber Swiss Army Knife - a web app for encryption, encoding, compression and data analysis"/>
    <x v="3"/>
    <d v="2016-11-28T16:04:07"/>
    <d v="2026-09-09T12:06:56"/>
    <d v="2026-09-07T15:41:29"/>
    <n v="148729"/>
    <n v="35783"/>
    <n v="35783"/>
    <n v="4139"/>
    <n v="563"/>
    <s v="master"/>
    <s v="compression, data-analysis, data-manipulation, encoding, encryption, hashing, parsing"/>
    <s v="Apache License 2.0"/>
    <s v="https://gchq.github.io/CyberChef"/>
    <b v="1"/>
    <b v="0"/>
    <b v="1"/>
    <b v="1"/>
    <b v="0"/>
    <b v="0"/>
    <b v="0"/>
    <s v="public"/>
    <n v="3577"/>
    <n v="5"/>
    <n v="7"/>
    <x v="7"/>
    <s v="November"/>
    <n v="2026"/>
    <n v="145.24"/>
    <s v="Original"/>
    <s v="Yes"/>
    <x v="0"/>
    <n v="44061"/>
    <s v="2026-09-15T00:00:00+00:00"/>
    <x v="0"/>
    <n v="0.1157"/>
    <n v="15.73"/>
  </r>
  <r>
    <n v="306977633"/>
    <s v="AI-Expert-Roadmap"/>
    <x v="11"/>
    <s v="AMAI-GmbH"/>
    <s v="Organization"/>
    <s v="https://github.com/AMAI-GmbH/AI-Expert-Roadmap"/>
    <s v="Roadmap to becoming an Artificial Intelligence Expert in 2022"/>
    <x v="3"/>
    <d v="2020-10-25T03:19:40"/>
    <d v="2026-09-09T10:19:36"/>
    <d v="2025-09-12T20:29:30"/>
    <n v="414"/>
    <n v="31225"/>
    <n v="31225"/>
    <n v="2580"/>
    <n v="19"/>
    <s v="main"/>
    <s v="ai, ai-roadmap, artificial-intelligence, data-analysis, data-science, deep-learning, machine-learning, neural-network, roadmap, study-plan"/>
    <s v="MIT License"/>
    <s v="https://i.am.ai/roadmap"/>
    <b v="1"/>
    <b v="0"/>
    <b v="0"/>
    <b v="0"/>
    <b v="0"/>
    <b v="0"/>
    <b v="0"/>
    <s v="public"/>
    <n v="2151"/>
    <n v="5"/>
    <n v="367"/>
    <x v="8"/>
    <s v="October"/>
    <n v="2026"/>
    <n v="0.4"/>
    <s v="Original"/>
    <s v="Yes"/>
    <x v="1"/>
    <n v="36385"/>
    <s v="2026-09-15T00:00:00+00:00"/>
    <x v="0"/>
    <n v="8.2600000000000007E-2"/>
    <n v="0.61"/>
  </r>
  <r>
    <n v="557075997"/>
    <s v="reflex"/>
    <x v="12"/>
    <s v="reflex-dev"/>
    <s v="Organization"/>
    <s v="https://github.com/reflex-dev/reflex"/>
    <s v="🕸️ Web apps in pure Python 🐍"/>
    <x v="0"/>
    <d v="2022-10-25T08:38:48"/>
    <d v="2026-09-09T11:55:51"/>
    <d v="2026-09-09T05:45:52"/>
    <n v="53623"/>
    <n v="28879"/>
    <n v="28879"/>
    <n v="1774"/>
    <n v="358"/>
    <s v="main"/>
    <s v="dashboard, data-analysis, data-science, data-visualization, developer-tools, framework, fullstack, gui, open-source, python, webapp"/>
    <s v="Apache License 2.0"/>
    <s v="https://reflex.dev"/>
    <b v="1"/>
    <b v="0"/>
    <b v="0"/>
    <b v="0"/>
    <b v="0"/>
    <b v="0"/>
    <b v="0"/>
    <s v="public"/>
    <n v="1420"/>
    <n v="5"/>
    <n v="5"/>
    <x v="9"/>
    <s v="October"/>
    <n v="2026"/>
    <n v="52.37"/>
    <s v="Original"/>
    <s v="Yes"/>
    <x v="0"/>
    <n v="32427"/>
    <s v="2026-09-15T00:00:00+00:00"/>
    <x v="0"/>
    <n v="6.1400000000000003E-2"/>
    <n v="12.4"/>
  </r>
  <r>
    <n v="335164964"/>
    <s v="dataease"/>
    <x v="13"/>
    <s v="dataease"/>
    <s v="Organization"/>
    <s v="https://github.com/dataease/dataease"/>
    <s v="🔥 人人可用的开源 BI 工具，数据可视化神器。An open-source BI tool alternative to Tableau."/>
    <x v="4"/>
    <d v="2021-02-02T09:40:21"/>
    <d v="2026-09-09T11:35:41"/>
    <d v="2026-09-09T11:01:51"/>
    <n v="355067"/>
    <n v="24418"/>
    <n v="24418"/>
    <n v="4243"/>
    <n v="44"/>
    <s v="dev-v2"/>
    <s v="apache-doris, business-intelligence, data-analysis, data-visualization, echarts, kettle, superset, tableau"/>
    <s v="GNU General Public License v3.0"/>
    <s v="https://dataease.cn/"/>
    <b v="1"/>
    <b v="0"/>
    <b v="0"/>
    <b v="0"/>
    <b v="0"/>
    <b v="0"/>
    <b v="0"/>
    <s v="public"/>
    <n v="2050"/>
    <n v="5"/>
    <n v="5"/>
    <x v="6"/>
    <s v="February"/>
    <n v="2026"/>
    <n v="346.75"/>
    <s v="Original"/>
    <s v="Yes"/>
    <x v="0"/>
    <n v="32904"/>
    <s v="2026-09-15T00:00:00+00:00"/>
    <x v="0"/>
    <n v="0.17380000000000001"/>
    <n v="1.8"/>
  </r>
  <r>
    <n v="317029148"/>
    <s v="best-of-ml-python"/>
    <x v="14"/>
    <s v="lukasmasuch"/>
    <s v="User"/>
    <s v="https://github.com/lukasmasuch/best-of-ml-python"/>
    <s v="🏆 A ranked list of awesome machine learning Python libraries. Updated weekly."/>
    <x v="5"/>
    <d v="2020-11-30T01:11:36"/>
    <d v="2026-09-08T23:06:21"/>
    <d v="2026-09-03T19:45:42"/>
    <n v="21391"/>
    <n v="23793"/>
    <n v="23793"/>
    <n v="3150"/>
    <n v="57"/>
    <s v="main"/>
    <s v="automl, chatgpt, data-analysis, data-science, data-visualization, data-visualizations, deep-learning, gpt, gpt-3, jax, keras, machine-learning, ml, nlp, python, pytorch, scikit-learn, tensorflow, transformer"/>
    <s v="Creative Commons Attribution Share Alike 4.0 International"/>
    <s v="https://ml-python.best-of.org"/>
    <b v="1"/>
    <b v="0"/>
    <b v="0"/>
    <b v="0"/>
    <b v="0"/>
    <b v="0"/>
    <b v="0"/>
    <s v="public"/>
    <n v="2115"/>
    <n v="6"/>
    <n v="11"/>
    <x v="8"/>
    <s v="November"/>
    <n v="2026"/>
    <n v="20.89"/>
    <s v="Original"/>
    <s v="Yes"/>
    <x v="0"/>
    <n v="30093"/>
    <s v="2026-09-15T00:00:00+00:00"/>
    <x v="0"/>
    <n v="0.13239999999999999"/>
    <n v="2.4"/>
  </r>
  <r>
    <n v="631258918"/>
    <s v="pandas-ai"/>
    <x v="15"/>
    <s v="sinaptik-ai"/>
    <s v="Organization"/>
    <s v="https://github.com/sinaptik-ai/pandas-ai"/>
    <s v="Chat with your database or your datalake (SQL, CSV, parquet). PandasAI makes data analysis conversational using LLMs and RAG."/>
    <x v="0"/>
    <d v="2023-04-22T18:28:01"/>
    <d v="2026-09-09T08:02:11"/>
    <d v="2025-10-28T15:32:13"/>
    <n v="57432"/>
    <n v="23791"/>
    <n v="23791"/>
    <n v="2342"/>
    <n v="22"/>
    <s v="main"/>
    <s v="ai, csv, data, data-analysis, data-science, data-visualization, database, datalake, gpt-4, llm, pandas, sql, text-to-sql"/>
    <s v="Other"/>
    <s v="https://pandas-ai.com"/>
    <b v="1"/>
    <b v="1"/>
    <b v="1"/>
    <b v="0"/>
    <b v="0"/>
    <b v="0"/>
    <b v="0"/>
    <s v="public"/>
    <n v="1241"/>
    <n v="5"/>
    <n v="321"/>
    <x v="10"/>
    <s v="April"/>
    <n v="2026"/>
    <n v="56.09"/>
    <s v="Original"/>
    <s v="Yes"/>
    <x v="2"/>
    <n v="28475"/>
    <s v="2026-09-15T00:00:00+00:00"/>
    <x v="0"/>
    <n v="9.8400000000000001E-2"/>
    <n v="0.92"/>
  </r>
  <r>
    <n v="212037775"/>
    <s v="akshare"/>
    <x v="16"/>
    <s v="akfamily"/>
    <s v="Organization"/>
    <s v="https://github.com/akfamily/akshare"/>
    <s v="AKShare is an elegant and simple financial data interface library for Python, built for human beings! 开源财经数据接口库"/>
    <x v="0"/>
    <d v="2019-10-01T13:04:12"/>
    <d v="2026-09-09T09:17:33"/>
    <d v="2026-09-09T09:50:59"/>
    <n v="6413"/>
    <n v="22495"/>
    <n v="22495"/>
    <n v="3501"/>
    <n v="8"/>
    <s v="main"/>
    <s v="academic, akshare, asset-pricing, bond, currency, data, data-analysis, data-science, datasets, economic-data, economics, finance, finance-api, financial-data, fundamental, futures, option, quant, stock"/>
    <s v="MIT License"/>
    <s v="https://akshare.akfamily.xyz"/>
    <b v="1"/>
    <b v="1"/>
    <b v="1"/>
    <b v="0"/>
    <b v="0"/>
    <b v="0"/>
    <b v="0"/>
    <s v="public"/>
    <n v="2540"/>
    <n v="5"/>
    <n v="5"/>
    <x v="3"/>
    <s v="October"/>
    <n v="2026"/>
    <n v="6.26"/>
    <s v="Original"/>
    <s v="Yes"/>
    <x v="0"/>
    <n v="29497"/>
    <s v="2026-09-15T00:00:00+00:00"/>
    <x v="0"/>
    <n v="0.15559999999999999"/>
    <n v="0.36"/>
  </r>
  <r>
    <n v="283046497"/>
    <s v="airbyte"/>
    <x v="17"/>
    <s v="airbytehq"/>
    <s v="Organization"/>
    <s v="https://github.com/airbytehq/airbyte"/>
    <s v="Open-source data movement for ELT pipelines and AI agents — from APIs, databases &amp; files to warehouses, lakes, and AI applications. Both self-hosted and Cloud."/>
    <x v="0"/>
    <d v="2020-07-28T05:25:54"/>
    <d v="2026-09-09T09:18:33"/>
    <d v="2026-09-09T10:09:18"/>
    <n v="913731"/>
    <n v="22016"/>
    <n v="22016"/>
    <n v="5334"/>
    <n v="2381"/>
    <s v="master"/>
    <s v="bigquery, change-data-capture, data, data-analysis, data-collection, data-engineering, data-integration, data-pipeline, elt, etl, java, mssql, mysql, pipeline, postgresql, python, redshift, s3, self-hosted, snowflake"/>
    <s v="Other"/>
    <s v="https://airbyte.com"/>
    <b v="1"/>
    <b v="1"/>
    <b v="0"/>
    <b v="0"/>
    <b v="0"/>
    <b v="0"/>
    <b v="0"/>
    <s v="public"/>
    <n v="2240"/>
    <n v="5"/>
    <n v="5"/>
    <x v="8"/>
    <s v="July"/>
    <n v="2026"/>
    <n v="892.32"/>
    <s v="Original"/>
    <s v="Yes"/>
    <x v="0"/>
    <n v="32684"/>
    <s v="2026-09-15T00:00:00+00:00"/>
    <x v="0"/>
    <n v="0.24229999999999999"/>
    <n v="108.15"/>
  </r>
  <r>
    <n v="11397939"/>
    <s v="goaccess"/>
    <x v="18"/>
    <s v="allinurl"/>
    <s v="User"/>
    <s v="https://github.com/allinurl/goaccess"/>
    <s v="GoAccess is a real-time web log analyzer and interactive viewer that runs in a terminal in *nix systems or through your browser."/>
    <x v="6"/>
    <d v="2013-07-14T09:12:08"/>
    <d v="2026-09-08T21:16:33"/>
    <d v="2026-09-03T08:08:53"/>
    <n v="10157"/>
    <n v="20915"/>
    <n v="20915"/>
    <n v="1191"/>
    <n v="449"/>
    <s v="master"/>
    <s v="analytics, apache, c, caddy, cli, command-line, dashboard, data-analysis, gdpr, goaccess, google-analytics, monitoring, ncurses, nginx, privacy, real-time, terminal, tui, web-analytics, webserver"/>
    <s v="MIT License"/>
    <s v="https://goaccess.io"/>
    <b v="1"/>
    <b v="1"/>
    <b v="0"/>
    <b v="0"/>
    <b v="0"/>
    <b v="0"/>
    <b v="0"/>
    <s v="public"/>
    <n v="4810"/>
    <n v="6"/>
    <n v="11"/>
    <x v="11"/>
    <s v="July"/>
    <n v="2026"/>
    <n v="9.92"/>
    <s v="Original"/>
    <s v="Yes"/>
    <x v="0"/>
    <n v="23297"/>
    <s v="2026-09-15T00:00:00+00:00"/>
    <x v="0"/>
    <n v="5.6899999999999999E-2"/>
    <n v="21.47"/>
  </r>
  <r>
    <n v="602389947"/>
    <s v="pygwalker"/>
    <x v="19"/>
    <s v="Kanaries"/>
    <s v="Organization"/>
    <s v="https://github.com/Kanaries/pygwalker"/>
    <s v="PyGWalker: Turn your dataframe into an interactive UI for visual analysis"/>
    <x v="0"/>
    <d v="2023-02-16T10:47:24"/>
    <d v="2026-09-09T07:25:19"/>
    <d v="2026-09-06T00:49:19"/>
    <n v="75119"/>
    <n v="15960"/>
    <n v="15960"/>
    <n v="887"/>
    <n v="68"/>
    <s v="main"/>
    <s v="data-analysis, data-exploration, dataframe, matplotlib, pandas, plotly, tableau, tableau-alternative, visualization"/>
    <s v="Apache License 2.0"/>
    <s v="https://kanaries.net/pygwalker"/>
    <b v="1"/>
    <b v="1"/>
    <b v="1"/>
    <b v="1"/>
    <b v="0"/>
    <b v="0"/>
    <b v="0"/>
    <s v="public"/>
    <n v="1306"/>
    <n v="5"/>
    <n v="9"/>
    <x v="10"/>
    <s v="February"/>
    <n v="2026"/>
    <n v="73.36"/>
    <s v="Original"/>
    <s v="Yes"/>
    <x v="0"/>
    <n v="17734"/>
    <s v="2026-09-15T00:00:00+00:00"/>
    <x v="0"/>
    <n v="5.5599999999999997E-2"/>
    <n v="4.26"/>
  </r>
  <r>
    <n v="1129718813"/>
    <s v="WeFlow"/>
    <x v="20"/>
    <s v="hicccc77"/>
    <s v="User"/>
    <s v="https://github.com/hicccc77/WeFlow"/>
    <s v="WeFlow - 一个本地的微信聊天记录导出和年度报告应用"/>
    <x v="5"/>
    <d v="2026-01-07T19:10:57"/>
    <d v="2026-09-09T12:08:57"/>
    <d v="2026-08-28T18:55:42"/>
    <n v="601"/>
    <n v="14206"/>
    <n v="14206"/>
    <n v="435"/>
    <n v="91"/>
    <s v="main"/>
    <s v="annual-report, data-analysis, data-visualization, message, wechat"/>
    <s v="No License"/>
    <s v="https://weflow.top"/>
    <b v="1"/>
    <b v="1"/>
    <b v="0"/>
    <b v="0"/>
    <b v="0"/>
    <b v="0"/>
    <b v="0"/>
    <s v="public"/>
    <n v="250"/>
    <n v="5"/>
    <n v="17"/>
    <x v="12"/>
    <s v="January"/>
    <n v="2026"/>
    <n v="0.59"/>
    <s v="Original"/>
    <s v="Yes"/>
    <x v="0"/>
    <n v="15076"/>
    <s v="2026-09-15T00:00:00+00:00"/>
    <x v="1"/>
    <n v="3.0599999999999999E-2"/>
    <n v="6.41"/>
  </r>
  <r>
    <n v="49346299"/>
    <s v="fg-data-profiling"/>
    <x v="21"/>
    <s v="Data-Centric-AI-Community"/>
    <s v="Organization"/>
    <s v="https://github.com/Data-Centric-AI-Community/fg-data-profiling"/>
    <s v="1 Line of code data quality profiling &amp; exploratory data analysis for Pandas and Spark DataFrames."/>
    <x v="0"/>
    <d v="2016-01-10T05:17:55"/>
    <d v="2026-09-09T08:22:59"/>
    <d v="2026-04-23T04:56:39"/>
    <n v="919827"/>
    <n v="13689"/>
    <n v="13689"/>
    <n v="1795"/>
    <n v="327"/>
    <s v="develop"/>
    <s v="big-data-analytics, data-analysis, data-exploration, data-profiling, data-quality, data-science, deep-learning, eda, exploration, exploratory-data-analysis, hacktoberfest, html-report, jupyter, jupyter-notebook, machine-learning, pandas, pandas-dataframe, pandas-profiling, python, statistics"/>
    <s v="MIT License"/>
    <s v="https://docs.sdk.ydata.ai"/>
    <b v="1"/>
    <b v="1"/>
    <b v="1"/>
    <b v="1"/>
    <b v="0"/>
    <b v="0"/>
    <b v="0"/>
    <s v="public"/>
    <n v="3901"/>
    <n v="5"/>
    <n v="145"/>
    <x v="7"/>
    <s v="January"/>
    <n v="2026"/>
    <n v="898.27"/>
    <s v="Original"/>
    <s v="Yes"/>
    <x v="0"/>
    <n v="17279"/>
    <s v="2026-09-15T00:00:00+00:00"/>
    <x v="0"/>
    <n v="0.13109999999999999"/>
    <n v="23.89"/>
  </r>
  <r>
    <n v="236637683"/>
    <s v="Ai-Learn"/>
    <x v="22"/>
    <s v="tangyudi"/>
    <s v="User"/>
    <s v="https://github.com/tangyudi/Ai-Learn"/>
    <s v="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
    <x v="5"/>
    <d v="2020-01-28T07:25:06"/>
    <d v="2026-09-09T10:02:39"/>
    <d v="2024-06-02T10:16:40"/>
    <n v="1335"/>
    <n v="13325"/>
    <n v="13325"/>
    <n v="2672"/>
    <n v="20"/>
    <s v="master"/>
    <s v="algorithm, artificial-intelligence, caffe, cv, data-analysis, data-mining, data-science, deep-learning, keras, machine-learning, mathematics, matplotlib, nlp, numpy, pandas, python, pytorch, seaborn, tensorflow, tensorflow2"/>
    <s v="No License"/>
    <s v="Not Available"/>
    <b v="0"/>
    <b v="1"/>
    <b v="1"/>
    <b v="0"/>
    <b v="0"/>
    <b v="0"/>
    <b v="0"/>
    <s v="public"/>
    <n v="2421"/>
    <n v="5"/>
    <n v="834"/>
    <x v="8"/>
    <s v="January"/>
    <n v="2026"/>
    <n v="1.3"/>
    <s v="Original"/>
    <s v="Yes"/>
    <x v="1"/>
    <n v="18669"/>
    <s v="2026-09-15T00:00:00+00:00"/>
    <x v="1"/>
    <n v="0.20050000000000001"/>
    <n v="1.5"/>
  </r>
  <r>
    <n v="6220644"/>
    <s v="OpenRefine"/>
    <x v="23"/>
    <s v="OpenRefine"/>
    <s v="Organization"/>
    <s v="https://github.com/OpenRefine/OpenRefine"/>
    <s v="OpenRefine is a free, open source power tool for working with messy data and improving it"/>
    <x v="4"/>
    <d v="2012-10-15T07:52:48"/>
    <d v="2026-09-09T11:29:01"/>
    <d v="2026-09-09T11:28:51"/>
    <n v="407640"/>
    <n v="11990"/>
    <n v="11990"/>
    <n v="2166"/>
    <n v="728"/>
    <s v="master"/>
    <s v="data-analysis, data-science, data-wrangling, datacleaning, datacleansing, datajournalism, datamining, java, journalism, opendata, reconciliation, wikidata"/>
    <s v="BSD 3-Clause &quot;New&quot; or &quot;Revised&quot; License"/>
    <s v="https://openrefine.org/"/>
    <b v="1"/>
    <b v="1"/>
    <b v="1"/>
    <b v="0"/>
    <b v="0"/>
    <b v="0"/>
    <b v="0"/>
    <s v="public"/>
    <n v="5082"/>
    <n v="5"/>
    <n v="5"/>
    <x v="13"/>
    <s v="October"/>
    <n v="2026"/>
    <n v="398.09"/>
    <s v="Original"/>
    <s v="Yes"/>
    <x v="0"/>
    <n v="16322"/>
    <s v="2026-09-15T00:00:00+00:00"/>
    <x v="0"/>
    <n v="0.1807"/>
    <n v="60.72"/>
  </r>
  <r>
    <n v="1885237"/>
    <s v="statsmodels"/>
    <x v="24"/>
    <s v="statsmodels"/>
    <s v="Organization"/>
    <s v="https://github.com/statsmodels/statsmodels"/>
    <s v="Statsmodels: statistical modeling and econometrics in Python"/>
    <x v="0"/>
    <d v="2011-06-12T22:34:50"/>
    <d v="2026-09-09T10:55:26"/>
    <d v="2026-09-09T10:54:54"/>
    <n v="68632"/>
    <n v="11615"/>
    <n v="11615"/>
    <n v="3579"/>
    <n v="2804"/>
    <s v="main"/>
    <s v="count-model, data-analysis, data-science, econometrics, forecasting, generalized-linear-models, hypothesis-testing, prediction, python, regression-models, robust-estimation, statistics, timeseries-analysis"/>
    <s v="BSD 3-Clause &quot;New&quot; or &quot;Revised&quot; License"/>
    <s v="http://www.statsmodels.org/devel/"/>
    <b v="1"/>
    <b v="1"/>
    <b v="1"/>
    <b v="0"/>
    <b v="0"/>
    <b v="0"/>
    <b v="0"/>
    <s v="public"/>
    <n v="5573"/>
    <n v="5"/>
    <n v="5"/>
    <x v="14"/>
    <s v="June"/>
    <n v="2026"/>
    <n v="67.02"/>
    <s v="Original"/>
    <s v="Yes"/>
    <x v="0"/>
    <n v="18773"/>
    <s v="2026-09-15T00:00:00+00:00"/>
    <x v="0"/>
    <n v="0.30809999999999998"/>
    <n v="241.41"/>
  </r>
  <r>
    <n v="83286964"/>
    <s v="mlcourse.ai"/>
    <x v="25"/>
    <s v="Yorko"/>
    <s v="User"/>
    <s v="https://github.com/Yorko/mlcourse.ai"/>
    <s v="Open Machine Learning Course"/>
    <x v="0"/>
    <d v="2017-02-27T14:02:20"/>
    <d v="2026-09-09T06:54:02"/>
    <d v="2026-09-03T13:40:01"/>
    <n v="668238"/>
    <n v="10703"/>
    <n v="10703"/>
    <n v="5696"/>
    <n v="0"/>
    <s v="main"/>
    <s v="algorithms, data-analysis, data-science, docker, ipynb, kaggle-inclass, machine-learning, math, matplotlib, numpy, pandas, plotly, python, scikit-learn, scipy, seaborn, vowpal-wabbit"/>
    <s v="Other"/>
    <s v="https://mlcourse.ai"/>
    <b v="1"/>
    <b v="0"/>
    <b v="1"/>
    <b v="1"/>
    <b v="0"/>
    <b v="0"/>
    <b v="0"/>
    <s v="public"/>
    <n v="3486"/>
    <n v="5"/>
    <n v="11"/>
    <x v="15"/>
    <s v="February"/>
    <n v="2026"/>
    <n v="652.58000000000004"/>
    <s v="Original"/>
    <s v="Yes"/>
    <x v="0"/>
    <n v="22095"/>
    <s v="2026-09-15T00:00:00+00:00"/>
    <x v="0"/>
    <n v="0.53220000000000001"/>
    <n v="0"/>
  </r>
  <r>
    <n v="90506918"/>
    <s v="cudf"/>
    <x v="26"/>
    <s v="NVIDIA"/>
    <s v="Organization"/>
    <s v="https://github.com/NVIDIA/cudf"/>
    <s v="cuDF - GPU DataFrame Library"/>
    <x v="7"/>
    <d v="2017-05-07T09:13:37"/>
    <d v="2026-09-09T10:26:30"/>
    <d v="2026-09-09T12:18:47"/>
    <n v="220383"/>
    <n v="9749"/>
    <n v="9749"/>
    <n v="1102"/>
    <n v="1326"/>
    <s v="main"/>
    <s v="arrow, cpp, cuda, cudf, dask, data-analysis, data-science, dataframe, gpu, pandas, pydata, python, rapids"/>
    <s v="Apache License 2.0"/>
    <s v="https://docs.nvidia.com/cudf/"/>
    <b v="1"/>
    <b v="1"/>
    <b v="0"/>
    <b v="0"/>
    <b v="0"/>
    <b v="0"/>
    <b v="0"/>
    <s v="public"/>
    <n v="3417"/>
    <n v="5"/>
    <n v="5"/>
    <x v="15"/>
    <s v="May"/>
    <n v="2026"/>
    <n v="215.22"/>
    <s v="Original"/>
    <s v="Yes"/>
    <x v="0"/>
    <n v="11953"/>
    <s v="2026-09-15T00:00:00+00:00"/>
    <x v="0"/>
    <n v="0.113"/>
    <n v="136.01"/>
  </r>
  <r>
    <n v="86164982"/>
    <s v="gonum"/>
    <x v="27"/>
    <s v="gonum"/>
    <s v="Organization"/>
    <s v="https://github.com/gonum/gonum"/>
    <s v="Gonum is a set of numeric libraries for the Go programming language. It contains libraries for matrices, statistics, optimization, and more"/>
    <x v="8"/>
    <d v="2017-03-25T20:24:38"/>
    <d v="2026-09-07T17:25:31"/>
    <d v="2026-08-31T04:04:35"/>
    <n v="17673"/>
    <n v="8426"/>
    <n v="8426"/>
    <n v="580"/>
    <n v="262"/>
    <s v="master"/>
    <s v="data-analysis, go, golang, graph, matrix, scientific-computing, statistics"/>
    <s v="BSD 3-Clause &quot;New&quot; or &quot;Revised&quot; License"/>
    <s v="https://www.gonum.org/"/>
    <b v="1"/>
    <b v="1"/>
    <b v="1"/>
    <b v="0"/>
    <b v="0"/>
    <b v="0"/>
    <b v="0"/>
    <s v="public"/>
    <n v="3460"/>
    <n v="7"/>
    <n v="15"/>
    <x v="15"/>
    <s v="March"/>
    <n v="2026"/>
    <n v="17.260000000000002"/>
    <s v="Original"/>
    <s v="Yes"/>
    <x v="0"/>
    <n v="9586"/>
    <s v="2026-09-15T00:00:00+00:00"/>
    <x v="0"/>
    <n v="6.88E-2"/>
    <n v="31.09"/>
  </r>
  <r>
    <n v="226096934"/>
    <s v="jimureport"/>
    <x v="28"/>
    <s v="jeecgboot"/>
    <s v="Organization"/>
    <s v="https://github.com/jeecgboot/jimureport"/>
    <s v="一款真正的 AI 报表诞生了！JimuChatBI —— 首款免费开源对话式智能数据分析产品（Chat2BI）。  一句话生成报表和数据大屏，支持对话式 AI 修改优化；类 Excel 在线报表设计，兼容国产信创数据源。  对着 AI 说句话，报表就出来了——表格、图表、分组汇总自动生成，复杂报表场景轻松应对。想做数据大屏？同样一句话搞定，让数据分析进入 AI 时代。"/>
    <x v="4"/>
    <d v="2019-12-05T17:55:59"/>
    <d v="2026-09-09T12:26:50"/>
    <d v="2026-09-08T17:30:21"/>
    <n v="105769"/>
    <n v="8402"/>
    <n v="8402"/>
    <n v="1879"/>
    <n v="28"/>
    <s v="master"/>
    <s v="ai, bi, bigscreen, birt, data-analysis, data-visualization, dataease, datav, echart, finereport, highcharts, ireport, jasperreport, metabase, print, redash, report, superset, tableau, text2sql"/>
    <s v="GNU General Public License v3.0"/>
    <s v="http://jimureport.com"/>
    <b v="1"/>
    <b v="1"/>
    <b v="1"/>
    <b v="0"/>
    <b v="0"/>
    <b v="0"/>
    <b v="0"/>
    <s v="public"/>
    <n v="2475"/>
    <n v="5"/>
    <n v="6"/>
    <x v="3"/>
    <s v="December"/>
    <n v="2026"/>
    <n v="103.29"/>
    <s v="Original"/>
    <s v="Yes"/>
    <x v="0"/>
    <n v="12160"/>
    <s v="2026-09-15T00:00:00+00:00"/>
    <x v="0"/>
    <n v="0.22359999999999999"/>
    <n v="3.33"/>
  </r>
  <r>
    <n v="365373172"/>
    <s v="growthbook"/>
    <x v="29"/>
    <s v="growthbook"/>
    <s v="Organization"/>
    <s v="https://github.com/growthbook/growthbook"/>
    <s v="Open Source Feature Flags, Experimentation, and Product Analytics"/>
    <x v="9"/>
    <d v="2021-05-08T04:41:51"/>
    <d v="2026-09-09T09:59:24"/>
    <d v="2026-09-09T12:30:59"/>
    <n v="272201"/>
    <n v="8331"/>
    <n v="8331"/>
    <n v="840"/>
    <n v="806"/>
    <s v="main"/>
    <s v="ab-testing, abtest, abtesting, analytics, bigquery, clickhouse, continuous-delivery, data-analysis, data-engineering, data-science, databricks, experimentation, feature-flagging, feature-flags, redshift, remote-config, snowflake, split-testing, statistics, warehouse-native"/>
    <s v="Other"/>
    <s v="https://www.growthbook.io"/>
    <b v="1"/>
    <b v="1"/>
    <b v="1"/>
    <b v="1"/>
    <b v="0"/>
    <b v="0"/>
    <b v="0"/>
    <s v="public"/>
    <n v="1956"/>
    <n v="5"/>
    <n v="5"/>
    <x v="6"/>
    <s v="May"/>
    <n v="2026"/>
    <n v="265.82"/>
    <s v="Original"/>
    <s v="Yes"/>
    <x v="0"/>
    <n v="10011"/>
    <s v="2026-09-15T00:00:00+00:00"/>
    <x v="0"/>
    <n v="0.1008"/>
    <n v="96.75"/>
  </r>
  <r>
    <n v="216628419"/>
    <s v="flyte"/>
    <x v="30"/>
    <s v="flyteorg"/>
    <s v="Organization"/>
    <s v="https://github.com/flyteorg/flyte"/>
    <s v="Dynamic, resilient AI orchestration. Coordinate data, models, and compute as you build AI workflows."/>
    <x v="8"/>
    <d v="2019-10-21T23:10:04"/>
    <d v="2026-09-09T11:47:07"/>
    <d v="2026-09-08T23:48:11"/>
    <n v="389408"/>
    <n v="7426"/>
    <n v="7426"/>
    <n v="883"/>
    <n v="181"/>
    <s v="main"/>
    <s v="agentic, ai-agents, ai-development-tools, data-analysis, data-science, declarative, fine-tuning, flyte, golang, grpc, hacktoberfest, kubernetes, llm, machine-learning, mlops, orchestration-engine, production, python, scale, workflow"/>
    <s v="Apache License 2.0"/>
    <s v="https://flyte.org"/>
    <b v="1"/>
    <b v="1"/>
    <b v="0"/>
    <b v="1"/>
    <b v="0"/>
    <b v="0"/>
    <b v="0"/>
    <s v="public"/>
    <n v="2520"/>
    <n v="5"/>
    <n v="6"/>
    <x v="3"/>
    <s v="October"/>
    <n v="2026"/>
    <n v="380.28"/>
    <s v="Original"/>
    <s v="Yes"/>
    <x v="0"/>
    <n v="9192"/>
    <s v="2026-09-15T00:00:00+00:00"/>
    <x v="0"/>
    <n v="0.11890000000000001"/>
    <n v="24.37"/>
  </r>
  <r>
    <n v="1104370536"/>
    <s v="ChatLab"/>
    <x v="31"/>
    <s v="ChatLab"/>
    <s v="Organization"/>
    <s v="https://github.com/ChatLab/ChatLab"/>
    <s v="Local-first chat history analyzer with AI. | 本地优先的 AI 聊天记录分析工具"/>
    <x v="9"/>
    <d v="2025-11-26T11:24:26"/>
    <d v="2026-09-09T08:40:03"/>
    <d v="2026-09-08T13:28:51"/>
    <n v="19105"/>
    <n v="7331"/>
    <n v="7331"/>
    <n v="1510"/>
    <n v="14"/>
    <s v="main"/>
    <s v="ai-agent, chat-analyzer, chat-history, data-analysis, data-visualization, harness"/>
    <s v="GNU Affero General Public License v3.0"/>
    <s v="https://chatlab.fun"/>
    <b v="1"/>
    <b v="1"/>
    <b v="0"/>
    <b v="0"/>
    <b v="0"/>
    <b v="0"/>
    <b v="0"/>
    <s v="public"/>
    <n v="292"/>
    <n v="5"/>
    <n v="6"/>
    <x v="2"/>
    <s v="November"/>
    <n v="2026"/>
    <n v="18.66"/>
    <s v="Original"/>
    <s v="Yes"/>
    <x v="0"/>
    <n v="10351"/>
    <s v="2026-09-15T00:00:00+00:00"/>
    <x v="0"/>
    <n v="0.20599999999999999"/>
    <n v="1.91"/>
  </r>
  <r>
    <n v="7276954"/>
    <s v="alluxio"/>
    <x v="32"/>
    <s v="Alluxio"/>
    <s v="Organization"/>
    <s v="https://github.com/Alluxio/alluxio"/>
    <s v="Alluxio, data orchestration for analytics and machine learning in the cloud"/>
    <x v="4"/>
    <d v="2012-12-21T23:13:46"/>
    <d v="2026-09-07T11:49:17"/>
    <d v="2026-09-01T23:42:17"/>
    <n v="204920"/>
    <n v="7238"/>
    <n v="7238"/>
    <n v="2932"/>
    <n v="1046"/>
    <s v="main"/>
    <s v="alluxio, data-analysis, data-orchestration, hadoop, memory-speed, presto, spark, tensorflow, virtual-distributed-filesystem"/>
    <s v="Apache License 2.0"/>
    <s v="https://www.alluxio.io"/>
    <b v="1"/>
    <b v="1"/>
    <b v="1"/>
    <b v="0"/>
    <b v="0"/>
    <b v="0"/>
    <b v="0"/>
    <s v="public"/>
    <n v="5015"/>
    <n v="7"/>
    <n v="13"/>
    <x v="13"/>
    <s v="December"/>
    <n v="2026"/>
    <n v="200.12"/>
    <s v="Original"/>
    <s v="Yes"/>
    <x v="0"/>
    <n v="13102"/>
    <s v="2026-09-15T00:00:00+00:00"/>
    <x v="0"/>
    <n v="0.40510000000000002"/>
    <n v="144.52000000000001"/>
  </r>
  <r>
    <n v="23011147"/>
    <s v="imbalanced-learn"/>
    <x v="33"/>
    <s v="scikit-learn-contrib"/>
    <s v="Organization"/>
    <s v="https://github.com/scikit-learn-contrib/imbalanced-learn"/>
    <s v="A Python Package to Tackle the Curse of Imbalanced Datasets in Machine Learning"/>
    <x v="0"/>
    <d v="2014-08-16T10:38:26"/>
    <d v="2026-09-08T15:10:55"/>
    <d v="2026-06-29T22:03:16"/>
    <n v="23075"/>
    <n v="7121"/>
    <n v="7121"/>
    <n v="1363"/>
    <n v="87"/>
    <s v="master"/>
    <s v="data-analysis, data-science, machine-learning, python, statistics"/>
    <s v="MIT License"/>
    <s v="https://imbalanced-learn.org"/>
    <b v="1"/>
    <b v="1"/>
    <b v="1"/>
    <b v="1"/>
    <b v="0"/>
    <b v="0"/>
    <b v="0"/>
    <s v="public"/>
    <n v="4412"/>
    <n v="6"/>
    <n v="77"/>
    <x v="16"/>
    <s v="August"/>
    <n v="2026"/>
    <n v="22.53"/>
    <s v="Original"/>
    <s v="Yes"/>
    <x v="0"/>
    <n v="9847"/>
    <s v="2026-09-15T00:00:00+00:00"/>
    <x v="0"/>
    <n v="0.19139999999999999"/>
    <n v="12.22"/>
  </r>
  <r>
    <n v="511691380"/>
    <s v="lance"/>
    <x v="34"/>
    <s v="lance-format"/>
    <s v="Organization"/>
    <s v="https://github.com/lance-format/lance"/>
    <s v="Open Lakehouse Format for Multimodal AI. Convert from Parquet in 2 lines of code for 100x faster random access, vector index, and data versioning. Compatible with Pandas, DuckDB, Polars, Pyarrow, and PyTorch with more integrations coming.."/>
    <x v="10"/>
    <d v="2022-07-08T03:59:29"/>
    <d v="2026-09-09T08:33:22"/>
    <d v="2026-09-09T10:43:37"/>
    <n v="88401"/>
    <n v="7054"/>
    <n v="7054"/>
    <n v="841"/>
    <n v="1083"/>
    <s v="main"/>
    <s v="apache-arrow, computer-vision, data-analysis, data-analytics, data-centric, data-format, data-science, dataops, deep-learning, duckdb, embeddings, llms, machine-learning, mlops, python, rust"/>
    <s v="Apache License 2.0"/>
    <s v="https://lance.org"/>
    <b v="1"/>
    <b v="0"/>
    <b v="1"/>
    <b v="1"/>
    <b v="0"/>
    <b v="0"/>
    <b v="0"/>
    <s v="public"/>
    <n v="1530"/>
    <n v="5"/>
    <n v="5"/>
    <x v="9"/>
    <s v="July"/>
    <n v="2026"/>
    <n v="86.33"/>
    <s v="Original"/>
    <s v="Yes"/>
    <x v="0"/>
    <n v="8736"/>
    <s v="2026-09-15T00:00:00+00:00"/>
    <x v="0"/>
    <n v="0.1192"/>
    <n v="153.53"/>
  </r>
  <r>
    <n v="673277958"/>
    <s v="data-juicer"/>
    <x v="35"/>
    <s v="datajuicer"/>
    <s v="Organization"/>
    <s v="https://github.com/datajuicer/data-juicer"/>
    <s v="Data processing for and with foundation models!  🍎 🍋 🌽 ➡️ ➡️🍸 🍹 🍷"/>
    <x v="0"/>
    <d v="2023-08-01T14:46:41"/>
    <d v="2026-09-09T11:04:54"/>
    <d v="2026-09-09T08:06:22"/>
    <n v="2210404"/>
    <n v="7021"/>
    <n v="7021"/>
    <n v="423"/>
    <n v="59"/>
    <s v="main"/>
    <s v="data, data-analysis, data-pipeline, data-processing, data-science, data-visualization, foundation-models, instruction-tuning, large-language-models, llm, llms, multi-modal, pre-training, synthetic-data"/>
    <s v="Apache License 2.0"/>
    <s v="https://datajuicer.github.io/data-juicer/"/>
    <b v="1"/>
    <b v="1"/>
    <b v="1"/>
    <b v="1"/>
    <b v="0"/>
    <b v="0"/>
    <b v="0"/>
    <s v="public"/>
    <n v="1140"/>
    <n v="5"/>
    <n v="5"/>
    <x v="10"/>
    <s v="August"/>
    <n v="2026"/>
    <n v="2158.6"/>
    <s v="Original"/>
    <s v="Yes"/>
    <x v="0"/>
    <n v="7867"/>
    <s v="2026-09-15T00:00:00+00:00"/>
    <x v="0"/>
    <n v="6.0199999999999997E-2"/>
    <n v="8.4"/>
  </r>
  <r>
    <n v="30730072"/>
    <s v="Data-Analysis-and-Machine-Learning-Projects"/>
    <x v="36"/>
    <s v="rhiever"/>
    <s v="User"/>
    <s v="https://github.com/rhiever/Data-Analysis-and-Machine-Learning-Projects"/>
    <s v="Repository of teaching materials, code, and data for my data analysis and machine learning projects."/>
    <x v="2"/>
    <d v="2015-02-13T04:33:58"/>
    <d v="2026-09-07T18:58:25"/>
    <d v="2023-06-21T14:36:28"/>
    <n v="20422"/>
    <n v="6749"/>
    <n v="6749"/>
    <n v="2107"/>
    <n v="15"/>
    <s v="master"/>
    <s v="data-analysis, data-science, evolutionary-algorithm, ipython-notebook, machine-learning, python"/>
    <s v="No License"/>
    <s v="http://www.randalolson.com/blog/"/>
    <b v="1"/>
    <b v="1"/>
    <b v="1"/>
    <b v="0"/>
    <b v="0"/>
    <b v="0"/>
    <b v="0"/>
    <s v="public"/>
    <n v="4232"/>
    <n v="7"/>
    <n v="1181"/>
    <x v="0"/>
    <s v="February"/>
    <n v="2026"/>
    <n v="19.940000000000001"/>
    <s v="Original"/>
    <s v="Yes"/>
    <x v="1"/>
    <n v="10963"/>
    <s v="2026-09-15T00:00:00+00:00"/>
    <x v="1"/>
    <n v="0.31219999999999998"/>
    <n v="2.2200000000000002"/>
  </r>
  <r>
    <n v="313853293"/>
    <s v="cloudquery"/>
    <x v="37"/>
    <s v="cloudquery"/>
    <s v="Organization"/>
    <s v="https://github.com/cloudquery/cloudquery"/>
    <s v="Data pipelines for cloud config and security data. Build cloud asset inventory, CSPM, FinOps, and vulnerability management solutions. Extract from AWS, Azure, GCP, and 70+ cloud and SaaS sources."/>
    <x v="8"/>
    <d v="2020-11-18T12:46:21"/>
    <d v="2026-09-07T14:51:10"/>
    <d v="2026-09-07T14:53:13"/>
    <n v="197486"/>
    <n v="6512"/>
    <n v="6512"/>
    <n v="557"/>
    <n v="166"/>
    <s v="main"/>
    <s v="airbyte, attack-surface-management, aws, azure, bigquery, cspm, data, data-analysis, data-collection, data-engineering, data-integration, elt, etl, etl-framework, gcp, github-api, go, google, kubernetes, sql"/>
    <s v="Mozilla Public License 2.0"/>
    <s v="https://cloudquery.io"/>
    <b v="1"/>
    <b v="1"/>
    <b v="0"/>
    <b v="0"/>
    <b v="0"/>
    <b v="0"/>
    <b v="0"/>
    <s v="public"/>
    <n v="2126"/>
    <n v="7"/>
    <n v="7"/>
    <x v="8"/>
    <s v="November"/>
    <n v="2026"/>
    <n v="192.86"/>
    <s v="Original"/>
    <s v="Yes"/>
    <x v="0"/>
    <n v="7626"/>
    <s v="2026-09-15T00:00:00+00:00"/>
    <x v="0"/>
    <n v="8.5500000000000007E-2"/>
    <n v="25.49"/>
  </r>
  <r>
    <n v="22003158"/>
    <s v="awesome-R"/>
    <x v="38"/>
    <s v="qinwf"/>
    <s v="User"/>
    <s v="https://github.com/qinwf/awesome-R"/>
    <s v="A curated list of awesome R packages, frameworks and software."/>
    <x v="11"/>
    <d v="2014-07-19T11:32:47"/>
    <d v="2026-09-06T11:19:49"/>
    <d v="2025-09-18T22:16:19"/>
    <n v="1254"/>
    <n v="6508"/>
    <n v="6508"/>
    <n v="1514"/>
    <n v="29"/>
    <s v="master"/>
    <s v="awesome, awesome-list, data-analysis, data-science, list, r, rstats"/>
    <s v="No License"/>
    <s v="Not Available"/>
    <b v="1"/>
    <b v="1"/>
    <b v="1"/>
    <b v="1"/>
    <b v="0"/>
    <b v="0"/>
    <b v="0"/>
    <s v="public"/>
    <n v="4440"/>
    <n v="8"/>
    <n v="361"/>
    <x v="16"/>
    <s v="July"/>
    <n v="2026"/>
    <n v="1.22"/>
    <s v="Original"/>
    <s v="Yes"/>
    <x v="2"/>
    <n v="9536"/>
    <s v="2026-09-15T00:00:00+00:00"/>
    <x v="1"/>
    <n v="0.2326"/>
    <n v="4.46"/>
  </r>
  <r>
    <n v="23653453"/>
    <s v="pachyderm"/>
    <x v="39"/>
    <s v="pachyderm"/>
    <s v="Organization"/>
    <s v="https://github.com/pachyderm/pachyderm"/>
    <s v="Data-Centric Pipelines and Data Versioning"/>
    <x v="8"/>
    <d v="2014-09-04T13:20:02"/>
    <d v="2026-09-06T11:19:58"/>
    <d v="2025-02-04T03:57:18"/>
    <n v="656481"/>
    <n v="6309"/>
    <n v="6309"/>
    <n v="578"/>
    <n v="940"/>
    <s v="master"/>
    <s v="analytics, big-data, containers, data-analysis, data-science, distributed-systems, docker, go, kubernetes, pachyderm"/>
    <s v="Apache License 2.0"/>
    <s v="https://www.pachyderm.com/"/>
    <b v="1"/>
    <b v="1"/>
    <b v="0"/>
    <b v="0"/>
    <b v="0"/>
    <b v="0"/>
    <b v="0"/>
    <s v="public"/>
    <n v="4393"/>
    <n v="8"/>
    <n v="588"/>
    <x v="16"/>
    <s v="September"/>
    <n v="2026"/>
    <n v="641.09"/>
    <s v="Original"/>
    <s v="Yes"/>
    <x v="1"/>
    <n v="7465"/>
    <s v="2026-09-15T00:00:00+00:00"/>
    <x v="0"/>
    <n v="9.1600000000000001E-2"/>
    <n v="148.99"/>
  </r>
  <r>
    <n v="689849471"/>
    <s v="TaskWeaver"/>
    <x v="40"/>
    <s v="microsoft"/>
    <s v="Organization"/>
    <s v="https://github.com/microsoft/TaskWeaver"/>
    <s v="The first &quot;code-first&quot; agent framework for seamlessly planning and executing data analytics tasks."/>
    <x v="0"/>
    <d v="2023-09-11T08:47:38"/>
    <d v="2026-09-08T14:22:15"/>
    <d v="2026-03-23T11:47:21"/>
    <n v="37379"/>
    <n v="6168"/>
    <n v="6168"/>
    <n v="783"/>
    <n v="53"/>
    <s v="main"/>
    <s v="agent, ai-agents, code-interpreter, copilot, data-analysis, llm, openai"/>
    <s v="MIT License"/>
    <s v="https://microsoft.github.io/TaskWeaver/"/>
    <b v="1"/>
    <b v="1"/>
    <b v="1"/>
    <b v="1"/>
    <b v="0"/>
    <b v="1"/>
    <b v="0"/>
    <s v="public"/>
    <n v="1099"/>
    <n v="6"/>
    <n v="175"/>
    <x v="10"/>
    <s v="September"/>
    <n v="2026"/>
    <n v="36.5"/>
    <s v="Original"/>
    <s v="Yes"/>
    <x v="0"/>
    <n v="7734"/>
    <s v="2026-09-15T00:00:00+00:00"/>
    <x v="0"/>
    <n v="0.12690000000000001"/>
    <n v="8.59"/>
  </r>
  <r>
    <n v="65949398"/>
    <s v="knowledge-repo"/>
    <x v="41"/>
    <s v="airbnb"/>
    <s v="Organization"/>
    <s v="https://github.com/airbnb/knowledge-repo"/>
    <s v="A next-generation curated knowledge sharing platform for data scientists and other technical professions."/>
    <x v="0"/>
    <d v="2016-08-18T05:02:50"/>
    <d v="2026-09-06T12:17:14"/>
    <d v="2024-09-04T20:29:57"/>
    <n v="77586"/>
    <n v="5538"/>
    <n v="5538"/>
    <n v="680"/>
    <n v="137"/>
    <s v="master"/>
    <s v="data, data-analysis, data-science, knowledge"/>
    <s v="Apache License 2.0"/>
    <s v="Not Available"/>
    <b v="1"/>
    <b v="1"/>
    <b v="1"/>
    <b v="0"/>
    <b v="0"/>
    <b v="0"/>
    <b v="0"/>
    <s v="public"/>
    <n v="3680"/>
    <n v="8"/>
    <n v="740"/>
    <x v="7"/>
    <s v="August"/>
    <n v="2026"/>
    <n v="75.77"/>
    <s v="Original"/>
    <s v="Yes"/>
    <x v="1"/>
    <n v="6898"/>
    <s v="2026-09-15T00:00:00+00:00"/>
    <x v="0"/>
    <n v="0.12280000000000001"/>
    <n v="24.74"/>
  </r>
  <r>
    <n v="1210155353"/>
    <s v="SenseNova-Skills"/>
    <x v="42"/>
    <s v="OpenSenseNova"/>
    <s v="Organization"/>
    <s v="https://github.com/OpenSenseNova/SenseNova-Skills"/>
    <s v="Modular SenseNova skills for building AI-powered office assistants and productivity workflows"/>
    <x v="3"/>
    <d v="2026-04-14T11:51:51"/>
    <d v="2026-09-09T11:09:20"/>
    <d v="2026-09-09T09:21:33"/>
    <n v="148124"/>
    <n v="5470"/>
    <n v="5470"/>
    <n v="387"/>
    <n v="27"/>
    <s v="main"/>
    <s v="agent, agent-skills, ai-agents, ai-assistant, data-analysis, document-processing, office-automation, presentation-slides"/>
    <s v="MIT License"/>
    <s v="Not Available"/>
    <b v="1"/>
    <b v="1"/>
    <b v="0"/>
    <b v="0"/>
    <b v="0"/>
    <b v="0"/>
    <b v="0"/>
    <s v="public"/>
    <n v="153"/>
    <n v="5"/>
    <n v="5"/>
    <x v="12"/>
    <s v="April"/>
    <n v="2026"/>
    <n v="144.65"/>
    <s v="Original"/>
    <s v="Yes"/>
    <x v="0"/>
    <n v="6244"/>
    <s v="2026-09-15T00:00:00+00:00"/>
    <x v="0"/>
    <n v="7.0699999999999999E-2"/>
    <n v="4.9400000000000004"/>
  </r>
  <r>
    <n v="58225794"/>
    <s v="Awesome-Geospatial"/>
    <x v="43"/>
    <s v="sacridini"/>
    <s v="User"/>
    <s v="https://github.com/sacridini/Awesome-Geospatial"/>
    <s v="Long list of geospatial tools and resources"/>
    <x v="5"/>
    <d v="2016-05-06T23:35:42"/>
    <d v="2026-09-08T21:49:28"/>
    <d v="2026-09-08T19:31:22"/>
    <n v="1653"/>
    <n v="5279"/>
    <n v="5279"/>
    <n v="795"/>
    <n v="2"/>
    <s v="master"/>
    <s v="awesome, awesome-list, data-analysis, deep-learning, earth-observation, geoprocessing, geospatial, geospatial-analysis, geotools, gis, machine-learning, map, remote-sensing, spatial-analysis, spatial-data"/>
    <s v="Creative Commons Zero v1.0 Universal"/>
    <s v="Not Available"/>
    <b v="1"/>
    <b v="1"/>
    <b v="1"/>
    <b v="1"/>
    <b v="0"/>
    <b v="0"/>
    <b v="0"/>
    <s v="public"/>
    <n v="3783"/>
    <n v="6"/>
    <n v="6"/>
    <x v="7"/>
    <s v="May"/>
    <n v="2026"/>
    <n v="1.61"/>
    <s v="Original"/>
    <s v="Yes"/>
    <x v="0"/>
    <n v="6869"/>
    <s v="2026-09-15T00:00:00+00:00"/>
    <x v="0"/>
    <n v="0.15060000000000001"/>
    <n v="0.38"/>
  </r>
  <r>
    <n v="173582015"/>
    <s v="octosql"/>
    <x v="44"/>
    <s v="cube2222"/>
    <s v="User"/>
    <s v="https://github.com/cube2222/octosql"/>
    <s v="OctoSQL is a query tool that allows you to join, analyse and transform data from multiple databases and file formats using SQL."/>
    <x v="8"/>
    <d v="2019-03-03T19:29:25"/>
    <d v="2026-09-09T02:12:13"/>
    <d v="2024-05-26T20:46:53"/>
    <n v="14011"/>
    <n v="5265"/>
    <n v="5265"/>
    <n v="214"/>
    <n v="46"/>
    <s v="main"/>
    <s v="cli, csv, data-analysis, go, golang, json, mysql, nosql, postgresql, query, query-engine, redis, sql"/>
    <s v="Mozilla Public License 2.0"/>
    <s v="Not Available"/>
    <b v="1"/>
    <b v="1"/>
    <b v="1"/>
    <b v="1"/>
    <b v="0"/>
    <b v="0"/>
    <b v="0"/>
    <s v="public"/>
    <n v="2752"/>
    <n v="6"/>
    <n v="841"/>
    <x v="3"/>
    <s v="March"/>
    <n v="2026"/>
    <n v="13.68"/>
    <s v="Original"/>
    <s v="Yes"/>
    <x v="1"/>
    <n v="5693"/>
    <s v="2026-09-15T00:00:00+00:00"/>
    <x v="0"/>
    <n v="4.0599999999999997E-2"/>
    <n v="8.74"/>
  </r>
  <r>
    <n v="196968829"/>
    <s v="dtale"/>
    <x v="45"/>
    <s v="man-group"/>
    <s v="Organization"/>
    <s v="https://github.com/man-group/dtale"/>
    <s v="Visualizer for pandas data structures"/>
    <x v="9"/>
    <d v="2019-07-15T15:04:48"/>
    <d v="2026-09-07T20:45:36"/>
    <d v="2026-07-24T10:48:50"/>
    <n v="132560"/>
    <n v="5219"/>
    <n v="5219"/>
    <n v="447"/>
    <n v="71"/>
    <s v="master"/>
    <s v="data-analysis, data-science, data-visualization, flask, ipython, jupyter-notebook, pandas, plotly-dash, python27, python3, react, react-virtualized, visualization, xarray"/>
    <s v="GNU Lesser General Public License v2.1"/>
    <s v="http://alphatechadmin.pythonanywhere.com"/>
    <b v="1"/>
    <b v="1"/>
    <b v="1"/>
    <b v="0"/>
    <b v="0"/>
    <b v="0"/>
    <b v="0"/>
    <s v="public"/>
    <n v="2618"/>
    <n v="7"/>
    <n v="52"/>
    <x v="3"/>
    <s v="July"/>
    <n v="2026"/>
    <n v="129.44999999999999"/>
    <s v="Original"/>
    <s v="Yes"/>
    <x v="0"/>
    <n v="6113"/>
    <s v="2026-09-15T00:00:00+00:00"/>
    <x v="0"/>
    <n v="8.5599999999999996E-2"/>
    <n v="13.6"/>
  </r>
  <r>
    <n v="263751330"/>
    <s v="danfojs"/>
    <x v="46"/>
    <s v="javascriptdata"/>
    <s v="Organization"/>
    <s v="https://github.com/javascriptdata/danfojs"/>
    <s v="Danfo.js is an open source, JavaScript library providing high performance, intuitive, and easy to use data structures for manipulating and processing structured data."/>
    <x v="9"/>
    <d v="2020-05-14T03:23:26"/>
    <d v="2026-09-09T11:52:12"/>
    <d v="2026-04-15T08:46:31"/>
    <n v="83487"/>
    <n v="5058"/>
    <n v="5058"/>
    <n v="222"/>
    <n v="101"/>
    <s v="dev"/>
    <s v="danfojs, data-analysis, data-analytics, data-manipulation, data-science, dataframe, javascript, pandas, plotting-charts, stream-data, stream-processing, table, tensorflow, tensors"/>
    <s v="MIT License"/>
    <s v="https://danfo.jsdata.org/"/>
    <b v="1"/>
    <b v="1"/>
    <b v="0"/>
    <b v="0"/>
    <b v="0"/>
    <b v="0"/>
    <b v="0"/>
    <s v="public"/>
    <n v="2315"/>
    <n v="5"/>
    <n v="152"/>
    <x v="8"/>
    <s v="May"/>
    <n v="2026"/>
    <n v="81.53"/>
    <s v="Original"/>
    <s v="Yes"/>
    <x v="0"/>
    <n v="5502"/>
    <s v="2026-09-15T00:00:00+00:00"/>
    <x v="0"/>
    <n v="4.3900000000000002E-2"/>
    <n v="19.97"/>
  </r>
  <r>
    <n v="410249461"/>
    <s v="machine_learning_complete"/>
    <x v="47"/>
    <s v="Nyandwi"/>
    <s v="User"/>
    <s v="https://github.com/Nyandwi/machine_learning_complete"/>
    <s v="A comprehensive machine learning repository containing 30+ notebooks on different concepts, algorithms and techniques."/>
    <x v="2"/>
    <d v="2021-09-25T16:32:35"/>
    <d v="2026-09-08T19:44:37"/>
    <d v="2023-09-23T03:41:36"/>
    <n v="167602"/>
    <n v="5041"/>
    <n v="5041"/>
    <n v="834"/>
    <n v="2"/>
    <s v="main"/>
    <s v="computer-vision, data-analysis, data-science, data-visualization, datascience, deep-learning, keras, machine-learning, matplotlib, neural-networks, nlp, numpy, open-source, pandas, python, scikit-learn, seaborn, tensorflow"/>
    <s v="MIT License"/>
    <s v="https://nyandwi.com/machine_learning_complete/"/>
    <b v="1"/>
    <b v="1"/>
    <b v="1"/>
    <b v="1"/>
    <b v="0"/>
    <b v="0"/>
    <b v="0"/>
    <s v="public"/>
    <n v="1815"/>
    <n v="6"/>
    <n v="1088"/>
    <x v="6"/>
    <s v="September"/>
    <n v="2026"/>
    <n v="163.66999999999999"/>
    <s v="Original"/>
    <s v="Yes"/>
    <x v="1"/>
    <n v="6709"/>
    <s v="2026-09-15T00:00:00+00:00"/>
    <x v="0"/>
    <n v="0.16539999999999999"/>
    <n v="0.4"/>
  </r>
  <r>
    <n v="291173540"/>
    <s v="matplotplusplus"/>
    <x v="48"/>
    <s v="alandefreitas"/>
    <s v="User"/>
    <s v="https://github.com/alandefreitas/matplotplusplus"/>
    <s v="Matplot++: A C++ Graphics Library for Data Visualization 📊🗾"/>
    <x v="7"/>
    <d v="2020-08-29T06:15:11"/>
    <d v="2026-09-08T22:38:43"/>
    <d v="2026-04-02T19:37:46"/>
    <n v="40108"/>
    <n v="4926"/>
    <n v="4926"/>
    <n v="386"/>
    <n v="82"/>
    <s v="master"/>
    <s v="charting-library, charts, contour-plots, data-analysis, data-science, data-visualization, graphics, graphics-library, graphs, matplot, plot-categories, plots, polar-plots, scientific-computing, scientific-visualization, visualization"/>
    <s v="MIT License"/>
    <s v="https://alandefreitas.github.io/matplotplusplus/"/>
    <b v="1"/>
    <b v="1"/>
    <b v="0"/>
    <b v="1"/>
    <b v="0"/>
    <b v="0"/>
    <b v="0"/>
    <s v="public"/>
    <n v="2207"/>
    <n v="6"/>
    <n v="165"/>
    <x v="8"/>
    <s v="August"/>
    <n v="2026"/>
    <n v="39.17"/>
    <s v="Original"/>
    <s v="Yes"/>
    <x v="0"/>
    <n v="5698"/>
    <s v="2026-09-15T00:00:00+00:00"/>
    <x v="0"/>
    <n v="7.8399999999999997E-2"/>
    <n v="16.649999999999999"/>
  </r>
  <r>
    <n v="62032720"/>
    <s v="weibospider"/>
    <x v="49"/>
    <s v="SpiderClub"/>
    <s v="Organization"/>
    <s v="https://github.com/SpiderClub/weibospider"/>
    <s v=":zap: A distributed crawler for weibo, building with celery and requests."/>
    <x v="0"/>
    <d v="2016-06-27T12:32:06"/>
    <d v="2026-09-08T18:51:34"/>
    <d v="2020-07-11T10:05:54"/>
    <n v="77550"/>
    <n v="4792"/>
    <n v="4792"/>
    <n v="1179"/>
    <n v="18"/>
    <s v="master"/>
    <s v="data-analysis, distributed-crawler, python3, sina, weibo, weibospider"/>
    <s v="MIT License"/>
    <s v="Not Available"/>
    <b v="1"/>
    <b v="1"/>
    <b v="1"/>
    <b v="1"/>
    <b v="0"/>
    <b v="0"/>
    <b v="0"/>
    <s v="public"/>
    <n v="3731"/>
    <n v="6"/>
    <n v="2256"/>
    <x v="7"/>
    <s v="June"/>
    <n v="2026"/>
    <n v="75.73"/>
    <s v="Original"/>
    <s v="Yes"/>
    <x v="1"/>
    <n v="7150"/>
    <s v="2026-09-15T00:00:00+00:00"/>
    <x v="0"/>
    <n v="0.246"/>
    <n v="3.76"/>
  </r>
  <r>
    <n v="89276692"/>
    <s v="plotnine"/>
    <x v="50"/>
    <s v="has2k1"/>
    <s v="User"/>
    <s v="https://github.com/has2k1/plotnine"/>
    <s v="A Grammar of Graphics for Python"/>
    <x v="0"/>
    <d v="2017-04-25T00:30:44"/>
    <d v="2026-09-07T21:58:03"/>
    <d v="2026-09-07T22:06:03"/>
    <n v="190956"/>
    <n v="4758"/>
    <n v="4758"/>
    <n v="253"/>
    <n v="82"/>
    <s v="main"/>
    <s v="data-analysis, grammar, graphics, plotting, python"/>
    <s v="MIT License"/>
    <s v="https://plotnine.org"/>
    <b v="1"/>
    <b v="1"/>
    <b v="1"/>
    <b v="1"/>
    <b v="0"/>
    <b v="0"/>
    <b v="0"/>
    <s v="public"/>
    <n v="3430"/>
    <n v="7"/>
    <n v="7"/>
    <x v="15"/>
    <s v="April"/>
    <n v="2026"/>
    <n v="186.48"/>
    <s v="Original"/>
    <s v="Yes"/>
    <x v="0"/>
    <n v="5264"/>
    <s v="2026-09-15T00:00:00+00:00"/>
    <x v="0"/>
    <n v="5.3199999999999997E-2"/>
    <n v="17.23"/>
  </r>
  <r>
    <n v="204949916"/>
    <s v="Rath"/>
    <x v="51"/>
    <s v="Kanaries"/>
    <s v="Organization"/>
    <s v="https://github.com/Kanaries/Rath"/>
    <s v="Next generation of automated data exploratory analysis and visualization platform."/>
    <x v="9"/>
    <d v="2019-08-28T19:51:25"/>
    <d v="2026-09-09T00:59:52"/>
    <d v="2026-08-15T02:54:23"/>
    <n v="86537"/>
    <n v="4683"/>
    <n v="4683"/>
    <n v="379"/>
    <n v="68"/>
    <s v="master"/>
    <s v="augmented-analytics, automated-data-analysis, automated-visualization, autovis, causal-discovery, causal-inference, causality, data-analysis, data-exploration, data-visualization, datamining, eda, k6s, kanaries, machine-learning, tableau, tableau-alternative, visualization"/>
    <s v="GNU Affero General Public License v3.0"/>
    <s v="https://rath.kanaries.net"/>
    <b v="1"/>
    <b v="1"/>
    <b v="1"/>
    <b v="1"/>
    <b v="0"/>
    <b v="0"/>
    <b v="0"/>
    <s v="public"/>
    <n v="2574"/>
    <n v="6"/>
    <n v="31"/>
    <x v="3"/>
    <s v="August"/>
    <n v="2026"/>
    <n v="84.51"/>
    <s v="Original"/>
    <s v="Yes"/>
    <x v="0"/>
    <n v="5441"/>
    <s v="2026-09-15T00:00:00+00:00"/>
    <x v="0"/>
    <n v="8.09E-2"/>
    <n v="14.52"/>
  </r>
  <r>
    <n v="158673445"/>
    <s v="datascience"/>
    <x v="52"/>
    <s v="r0f1"/>
    <s v="User"/>
    <s v="https://github.com/r0f1/datascience"/>
    <s v="Curated list of Python resources for data science."/>
    <x v="5"/>
    <d v="2018-11-22T14:51:49"/>
    <d v="2026-09-09T01:33:46"/>
    <d v="2026-09-08T00:29:25"/>
    <n v="1044"/>
    <n v="4664"/>
    <n v="4664"/>
    <n v="714"/>
    <n v="0"/>
    <s v="master"/>
    <s v="artificial-intelligence, awesome, awesome-list, bayes, data-analysis, data-mining, data-science, data-visualization, datascience, deep-learning, deeplearning, machine-learning, python, statistics"/>
    <s v="Creative Commons Zero v1.0 Universal"/>
    <s v="Not Available"/>
    <b v="1"/>
    <b v="1"/>
    <b v="1"/>
    <b v="0"/>
    <b v="0"/>
    <b v="0"/>
    <b v="0"/>
    <s v="public"/>
    <n v="2853"/>
    <n v="6"/>
    <n v="7"/>
    <x v="4"/>
    <s v="November"/>
    <n v="2026"/>
    <n v="1.02"/>
    <s v="Original"/>
    <s v="Yes"/>
    <x v="0"/>
    <n v="6092"/>
    <s v="2026-09-15T00:00:00+00:00"/>
    <x v="0"/>
    <n v="0.15310000000000001"/>
    <n v="0"/>
  </r>
  <r>
    <n v="107827601"/>
    <s v="pydata-notebook"/>
    <x v="53"/>
    <s v="BrambleXu"/>
    <s v="User"/>
    <s v="https://github.com/BrambleXu/pydata-notebook"/>
    <s v="利用Python进行数据分析 第二版 (2017) 中文翻译笔记"/>
    <x v="2"/>
    <d v="2017-10-22T06:33:56"/>
    <d v="2026-09-02T08:16:59"/>
    <d v="2018-05-08T18:09:43"/>
    <n v="44923"/>
    <n v="4652"/>
    <n v="4652"/>
    <n v="1607"/>
    <n v="1"/>
    <s v="master"/>
    <s v="chinese-translation, data-analysis, jupyter-notebook, pandas, python-for-data-analysis"/>
    <s v="No License"/>
    <s v="Not Available"/>
    <b v="1"/>
    <b v="1"/>
    <b v="1"/>
    <b v="0"/>
    <b v="0"/>
    <b v="0"/>
    <b v="0"/>
    <s v="public"/>
    <n v="3249"/>
    <n v="12"/>
    <n v="3051"/>
    <x v="15"/>
    <s v="October"/>
    <n v="2026"/>
    <n v="43.87"/>
    <s v="Original"/>
    <s v="Yes"/>
    <x v="1"/>
    <n v="7866"/>
    <s v="2026-09-15T00:00:00+00:00"/>
    <x v="1"/>
    <n v="0.34539999999999998"/>
    <n v="0.21"/>
  </r>
  <r>
    <n v="1074218324"/>
    <s v="DeepAnalyze"/>
    <x v="54"/>
    <s v="ruc-datalab"/>
    <s v="Organization"/>
    <s v="https://github.com/ruc-datalab/DeepAnalyze"/>
    <s v="DeepAnalyze is the first agentic LLM for autonomous data science. 🎈你的AI数据分析师，自动分析大量数据，一键生成专业分析报告！"/>
    <x v="0"/>
    <d v="2025-10-11T16:49:21"/>
    <d v="2026-09-09T11:02:58"/>
    <d v="2026-08-30T13:37:06"/>
    <n v="57286"/>
    <n v="4608"/>
    <n v="4608"/>
    <n v="732"/>
    <n v="25"/>
    <s v="main"/>
    <s v="agent, agentic, agentic-ai, ai, ai-scientist, chatbot, data, data-analysis, data-engineering, data-science, data-visualization, database, deep-research, jupyter, llm, open-source, python, python-programming, qwen, science"/>
    <s v="MIT License"/>
    <s v="https://ruc-deepanalyze.github.io"/>
    <b v="1"/>
    <b v="1"/>
    <b v="1"/>
    <b v="0"/>
    <b v="0"/>
    <b v="0"/>
    <b v="0"/>
    <s v="public"/>
    <n v="338"/>
    <n v="5"/>
    <n v="15"/>
    <x v="2"/>
    <s v="October"/>
    <n v="2026"/>
    <n v="55.94"/>
    <s v="Original"/>
    <s v="Yes"/>
    <x v="0"/>
    <n v="6072"/>
    <s v="2026-09-15T00:00:00+00:00"/>
    <x v="0"/>
    <n v="0.15890000000000001"/>
    <n v="5.43"/>
  </r>
  <r>
    <n v="296233312"/>
    <s v="running_page"/>
    <x v="55"/>
    <s v="yihong0618"/>
    <s v="User"/>
    <s v="https://github.com/yihong0618/running_page"/>
    <s v="Make your own running home page"/>
    <x v="9"/>
    <d v="2020-09-17T11:29:22"/>
    <d v="2026-09-08T17:14:04"/>
    <d v="2026-07-16T06:55:23"/>
    <n v="94507"/>
    <n v="4510"/>
    <n v="4510"/>
    <n v="1427"/>
    <n v="58"/>
    <s v="master"/>
    <s v="adidas, club-nike, data-analysis, data-visualization, garmin, garmin-watch, github-secret, gpx, mapbox, nike, strava, vercel"/>
    <s v="MIT License"/>
    <s v="https://running-page.vercel.app"/>
    <b v="1"/>
    <b v="1"/>
    <b v="1"/>
    <b v="1"/>
    <b v="0"/>
    <b v="0"/>
    <b v="0"/>
    <s v="public"/>
    <n v="2188"/>
    <n v="6"/>
    <n v="60"/>
    <x v="8"/>
    <s v="September"/>
    <n v="2026"/>
    <n v="92.29"/>
    <s v="Original"/>
    <s v="Yes"/>
    <x v="0"/>
    <n v="7364"/>
    <s v="2026-09-15T00:00:00+00:00"/>
    <x v="0"/>
    <n v="0.31640000000000001"/>
    <n v="12.86"/>
  </r>
  <r>
    <n v="386575694"/>
    <s v="python-mini-project"/>
    <x v="56"/>
    <s v="ndleah"/>
    <s v="User"/>
    <s v="https://github.com/ndleah/python-mini-project"/>
    <s v="🙌 Welcome open-source Python mini-project contributions!"/>
    <x v="0"/>
    <d v="2021-07-16T14:35:09"/>
    <d v="2026-09-09T08:47:26"/>
    <d v="2024-08-17T02:35:01"/>
    <n v="126309"/>
    <n v="4384"/>
    <n v="4384"/>
    <n v="1797"/>
    <n v="280"/>
    <s v="main"/>
    <s v="data-analysis, data-science, data-visualization, newbie-code, newbie-friendly, python, python-mini-projects, python-programming-exercises, python-project-beginner"/>
    <s v="MIT License"/>
    <s v="Not Available"/>
    <b v="1"/>
    <b v="1"/>
    <b v="1"/>
    <b v="0"/>
    <b v="0"/>
    <b v="0"/>
    <b v="0"/>
    <s v="public"/>
    <n v="1886"/>
    <n v="5"/>
    <n v="759"/>
    <x v="6"/>
    <s v="July"/>
    <n v="2026"/>
    <n v="123.35"/>
    <s v="Original"/>
    <s v="Yes"/>
    <x v="1"/>
    <n v="7978"/>
    <s v="2026-09-15T00:00:00+00:00"/>
    <x v="0"/>
    <n v="0.40989999999999999"/>
    <n v="63.87"/>
  </r>
  <r>
    <n v="482533450"/>
    <s v="Data-Science-Roadmap"/>
    <x v="57"/>
    <s v="Moataz-Elmesmary"/>
    <s v="User"/>
    <s v="https://github.com/Moataz-Elmesmary/Data-Science-Roadmap"/>
    <s v="Data Science Roadmap from A to Z"/>
    <x v="5"/>
    <d v="2022-04-17T19:10:19"/>
    <d v="2026-09-08T21:58:17"/>
    <d v="2025-12-07T01:31:50"/>
    <n v="162995"/>
    <n v="4358"/>
    <n v="4358"/>
    <n v="620"/>
    <n v="1"/>
    <s v="main"/>
    <s v="big-data, chatgpt, cheatsheet, cv-template, data-analysis, data-engineering, data-science, data-visualization, deep-learning, interview-questions, linear-algebra, llms, machine-learning, mathematics, neural-network, nlp, probability, python, sql, statistics"/>
    <s v="MIT License"/>
    <s v="https://www.linkedin.com/posts/moatazelmesmary_github-moataz-elmesmarydata-science-roadmap-activity-6974293994960769024-yCdi?utm_source=share&amp;utm_medium=member_desktop"/>
    <b v="1"/>
    <b v="1"/>
    <b v="1"/>
    <b v="0"/>
    <b v="0"/>
    <b v="0"/>
    <b v="0"/>
    <s v="public"/>
    <n v="1611"/>
    <n v="6"/>
    <n v="282"/>
    <x v="9"/>
    <s v="April"/>
    <n v="2026"/>
    <n v="159.16999999999999"/>
    <s v="Original"/>
    <s v="Yes"/>
    <x v="2"/>
    <n v="5598"/>
    <s v="2026-09-15T00:00:00+00:00"/>
    <x v="0"/>
    <n v="0.14230000000000001"/>
    <n v="0.23"/>
  </r>
  <r>
    <n v="854628278"/>
    <s v="briefer"/>
    <x v="58"/>
    <s v="briefercloud"/>
    <s v="Organization"/>
    <s v="https://github.com/briefercloud/briefer"/>
    <s v="Dashboards and notebooks in a single place. Create powerful and flexible dashboards using code, or build beautiful Notion-like notebooks and share them with your team."/>
    <x v="9"/>
    <d v="2024-09-09T19:34:37"/>
    <d v="2026-09-09T06:52:10"/>
    <d v="2025-08-07T18:50:05"/>
    <n v="68271"/>
    <n v="4324"/>
    <n v="4324"/>
    <n v="290"/>
    <n v="70"/>
    <s v="main"/>
    <s v="analytics, bi, bigquery, briefer, business-intelligence, businessintelligence, dashboard, data-analysis, data-visualization, jupyter, notebook, postgres, postgresql, reporting, visualization"/>
    <s v="GNU Affero General Public License v3.0"/>
    <s v="https://briefer.cloud"/>
    <b v="1"/>
    <b v="1"/>
    <b v="0"/>
    <b v="0"/>
    <b v="0"/>
    <b v="0"/>
    <b v="0"/>
    <s v="public"/>
    <n v="735"/>
    <n v="5"/>
    <n v="403"/>
    <x v="5"/>
    <s v="September"/>
    <n v="2026"/>
    <n v="66.67"/>
    <s v="Original"/>
    <s v="Yes"/>
    <x v="1"/>
    <n v="4904"/>
    <s v="2026-09-15T00:00:00+00:00"/>
    <x v="0"/>
    <n v="6.7100000000000007E-2"/>
    <n v="16.190000000000001"/>
  </r>
  <r>
    <n v="612750561"/>
    <s v="sql-translator"/>
    <x v="59"/>
    <s v="whoiskatrin"/>
    <s v="User"/>
    <s v="https://github.com/whoiskatrin/sql-translator"/>
    <s v="SQL Translator is a tool for converting natural language queries into SQL code using artificial intelligence. This project is 100% free and open source."/>
    <x v="9"/>
    <d v="2023-03-12T03:02:56"/>
    <d v="2026-09-08T20:36:49"/>
    <d v="2025-07-06T06:16:23"/>
    <n v="4284"/>
    <n v="4321"/>
    <n v="4321"/>
    <n v="375"/>
    <n v="7"/>
    <s v="main"/>
    <s v="data-analysis, data-engineering, dataquery, datascience, dataset, openai, postgresql, query, sql"/>
    <s v="MIT License"/>
    <s v="https://www.sqltranslate.app/"/>
    <b v="1"/>
    <b v="1"/>
    <b v="0"/>
    <b v="0"/>
    <b v="0"/>
    <b v="0"/>
    <b v="0"/>
    <s v="public"/>
    <n v="1283"/>
    <n v="6"/>
    <n v="435"/>
    <x v="10"/>
    <s v="March"/>
    <n v="2026"/>
    <n v="4.18"/>
    <s v="Original"/>
    <s v="Yes"/>
    <x v="1"/>
    <n v="5071"/>
    <s v="2026-09-15T00:00:00+00:00"/>
    <x v="0"/>
    <n v="8.6800000000000002E-2"/>
    <n v="1.62"/>
  </r>
  <r>
    <n v="280508180"/>
    <s v="Data-science"/>
    <x v="60"/>
    <s v="CodeCutTech"/>
    <s v="Organization"/>
    <s v="https://github.com/CodeCutTech/Data-science"/>
    <s v="Collection of useful data science topics along with articles, videos, and code"/>
    <x v="2"/>
    <d v="2020-07-18T00:55:27"/>
    <d v="2026-09-03T14:16:24"/>
    <d v="2025-12-03T03:12:02"/>
    <n v="141605"/>
    <n v="4219"/>
    <n v="4219"/>
    <n v="1059"/>
    <n v="6"/>
    <s v="master"/>
    <s v="articles, artificial-intelligence, data-analysis, data-science, data-visualization, machine-learning, natural-language-processing, python, scraping, time-series"/>
    <s v="No License"/>
    <s v="https://codecut.ai/blog"/>
    <b v="1"/>
    <b v="1"/>
    <b v="1"/>
    <b v="1"/>
    <b v="0"/>
    <b v="1"/>
    <b v="0"/>
    <s v="public"/>
    <n v="2250"/>
    <n v="11"/>
    <n v="286"/>
    <x v="8"/>
    <s v="July"/>
    <n v="2026"/>
    <n v="138.29"/>
    <s v="Original"/>
    <s v="Yes"/>
    <x v="2"/>
    <n v="6337"/>
    <s v="2026-09-15T00:00:00+00:00"/>
    <x v="1"/>
    <n v="0.251"/>
    <n v="1.42"/>
  </r>
  <r>
    <n v="54834492"/>
    <s v="missingno"/>
    <x v="61"/>
    <s v="ResidentMario"/>
    <s v="User"/>
    <s v="https://github.com/ResidentMario/missingno"/>
    <s v="Missing data visualization module for Python."/>
    <x v="0"/>
    <d v="2016-03-27T20:48:50"/>
    <d v="2026-09-08T15:23:08"/>
    <d v="2024-05-15T00:00:13"/>
    <n v="10860"/>
    <n v="4214"/>
    <n v="4214"/>
    <n v="521"/>
    <n v="14"/>
    <s v="master"/>
    <s v="data-analysis, data-visualization, missing-data, pandas, python"/>
    <s v="MIT License"/>
    <s v="Not Available"/>
    <b v="1"/>
    <b v="1"/>
    <b v="1"/>
    <b v="0"/>
    <b v="0"/>
    <b v="0"/>
    <b v="0"/>
    <s v="public"/>
    <n v="3823"/>
    <n v="6"/>
    <n v="853"/>
    <x v="7"/>
    <s v="March"/>
    <n v="2026"/>
    <n v="10.61"/>
    <s v="Original"/>
    <s v="Yes"/>
    <x v="1"/>
    <n v="5256"/>
    <s v="2026-09-15T00:00:00+00:00"/>
    <x v="0"/>
    <n v="0.1236"/>
    <n v="3.32"/>
  </r>
  <r>
    <n v="1078317722"/>
    <s v="echotrace"/>
    <x v="62"/>
    <s v="ycccccccy"/>
    <s v="User"/>
    <s v="https://github.com/ycccccccy/echotrace"/>
    <s v="EchoTrace 是一个本地、安全的微信聊天记录导出、分析与年度报告生成工具 | EchoTrace is a local, secure tool for exporting, analyzing, and generating annual reports of WeChat chat records"/>
    <x v="5"/>
    <d v="2025-10-17T20:10:37"/>
    <d v="2026-09-09T12:12:23"/>
    <d v="2026-03-20T19:41:25"/>
    <n v="45165"/>
    <n v="3799"/>
    <n v="3799"/>
    <n v="682"/>
    <n v="31"/>
    <s v="main"/>
    <s v="annual-reports, chat-history, data-analysis, data-visualization, wechat"/>
    <s v="MIT License"/>
    <s v="Not Available"/>
    <b v="1"/>
    <b v="1"/>
    <b v="1"/>
    <b v="0"/>
    <b v="0"/>
    <b v="0"/>
    <b v="0"/>
    <s v="public"/>
    <n v="332"/>
    <n v="5"/>
    <n v="178"/>
    <x v="2"/>
    <s v="October"/>
    <n v="2026"/>
    <n v="44.11"/>
    <s v="Original"/>
    <s v="Yes"/>
    <x v="0"/>
    <n v="5163"/>
    <s v="2026-09-15T00:00:00+00:00"/>
    <x v="0"/>
    <n v="0.17949999999999999"/>
    <n v="8.16"/>
  </r>
  <r>
    <n v="48880766"/>
    <s v="tablesaw"/>
    <x v="63"/>
    <s v="jtablesaw"/>
    <s v="Organization"/>
    <s v="https://github.com/jtablesaw/tablesaw"/>
    <s v="Java dataframe and visualization library"/>
    <x v="4"/>
    <d v="2016-01-01T20:28:28"/>
    <d v="2026-09-01T09:12:10"/>
    <d v="2026-08-08T11:16:55"/>
    <n v="66328"/>
    <n v="3764"/>
    <n v="3764"/>
    <n v="646"/>
    <n v="147"/>
    <s v="master"/>
    <s v="chart, data-analysis, data-frame, data-science, data-visualization, dataframe, high-performance, java, java-dataframe, machine-learning, plotly, plotting, statistical-analysis, statistics, visualization"/>
    <s v="Apache License 2.0"/>
    <s v="https://jtablesaw.github.io/tablesaw/"/>
    <b v="1"/>
    <b v="1"/>
    <b v="1"/>
    <b v="1"/>
    <b v="0"/>
    <b v="0"/>
    <b v="0"/>
    <s v="public"/>
    <n v="3909"/>
    <n v="13"/>
    <n v="37"/>
    <x v="7"/>
    <s v="January"/>
    <n v="2026"/>
    <n v="64.77"/>
    <s v="Original"/>
    <s v="Yes"/>
    <x v="0"/>
    <n v="5056"/>
    <s v="2026-09-15T00:00:00+00:00"/>
    <x v="0"/>
    <n v="0.1716"/>
    <n v="39.049999999999997"/>
  </r>
  <r>
    <n v="649609017"/>
    <s v="VTable"/>
    <x v="64"/>
    <s v="VisActor"/>
    <s v="Organization"/>
    <s v="https://github.com/VisActor/VTable"/>
    <s v="VTable is not just a high-performance multidimensional data analysis table, but also a grid artist that creates art between rows and columns."/>
    <x v="9"/>
    <d v="2023-06-05T14:21:38"/>
    <d v="2026-09-08T22:22:12"/>
    <d v="2026-09-03T13:35:29"/>
    <n v="170315"/>
    <n v="3657"/>
    <n v="3657"/>
    <n v="489"/>
    <n v="545"/>
    <s v="develop"/>
    <s v="canvas-table, data-analysis, data-visualization, database, datagrid, grid, javascript-table, javescript, list-table, list-tree, online-excel, pivot-chart, pivot-grid, pivot-tables, react-table, sparklines, spreadsheet, tree-table, visualization, vue-table"/>
    <s v="MIT License"/>
    <s v="https://visactor.io/vtable"/>
    <b v="1"/>
    <b v="1"/>
    <b v="1"/>
    <b v="0"/>
    <b v="0"/>
    <b v="0"/>
    <b v="0"/>
    <s v="public"/>
    <n v="1197"/>
    <n v="6"/>
    <n v="11"/>
    <x v="10"/>
    <s v="June"/>
    <n v="2026"/>
    <n v="166.32"/>
    <s v="Original"/>
    <s v="Yes"/>
    <x v="0"/>
    <n v="4635"/>
    <s v="2026-09-15T00:00:00+00:00"/>
    <x v="0"/>
    <n v="0.13370000000000001"/>
    <n v="149.03"/>
  </r>
  <r>
    <n v="786187721"/>
    <s v="rio"/>
    <x v="65"/>
    <s v="rio-labs"/>
    <s v="Organization"/>
    <s v="https://github.com/rio-labs/rio"/>
    <s v="WebApps in pure Python. No JavaScript, HTML and CSS needed"/>
    <x v="0"/>
    <d v="2024-04-13T22:54:38"/>
    <d v="2026-09-08T10:20:57"/>
    <d v="2026-09-01T00:11:48"/>
    <n v="50894"/>
    <n v="3637"/>
    <n v="3637"/>
    <n v="159"/>
    <n v="75"/>
    <s v="main"/>
    <s v="app, crud-application, data-analysis, data-science, data-visualization, developer-tools, framework, gui, machine-learning, python, web"/>
    <s v="Apache License 2.0"/>
    <s v="https://rio.dev"/>
    <b v="1"/>
    <b v="1"/>
    <b v="1"/>
    <b v="0"/>
    <b v="0"/>
    <b v="0"/>
    <b v="0"/>
    <s v="public"/>
    <n v="884"/>
    <n v="6"/>
    <n v="14"/>
    <x v="5"/>
    <s v="April"/>
    <n v="2026"/>
    <n v="49.7"/>
    <s v="Original"/>
    <s v="Yes"/>
    <x v="0"/>
    <n v="3955"/>
    <s v="2026-09-15T00:00:00+00:00"/>
    <x v="0"/>
    <n v="4.3700000000000003E-2"/>
    <n v="20.62"/>
  </r>
  <r>
    <n v="114992691"/>
    <s v="awesome-python-data-science"/>
    <x v="66"/>
    <s v="krzjoa"/>
    <s v="User"/>
    <s v="https://github.com/krzjoa/awesome-python-data-science"/>
    <s v="Probably the best curated list of data science software in Python."/>
    <x v="5"/>
    <d v="2017-12-21T15:47:53"/>
    <d v="2026-09-09T00:25:40"/>
    <d v="2026-04-13T12:45:05"/>
    <n v="1549"/>
    <n v="3583"/>
    <n v="3583"/>
    <n v="464"/>
    <n v="21"/>
    <s v="master"/>
    <s v="awesome, awesome-list, awesome-python, data-analysis, data-science, data-visualization, deep-learning, machine-learning, python, scikit-learn, statistics"/>
    <s v="Creative Commons Attribution 4.0 International"/>
    <s v="https://krzjoa.github.io/awesome-python-data-science"/>
    <b v="1"/>
    <b v="1"/>
    <b v="1"/>
    <b v="1"/>
    <b v="0"/>
    <b v="0"/>
    <b v="0"/>
    <s v="public"/>
    <n v="3189"/>
    <n v="6"/>
    <n v="154"/>
    <x v="15"/>
    <s v="December"/>
    <n v="2026"/>
    <n v="1.51"/>
    <s v="Original"/>
    <s v="Yes"/>
    <x v="0"/>
    <n v="4511"/>
    <s v="2026-09-15T00:00:00+00:00"/>
    <x v="0"/>
    <n v="0.1295"/>
    <n v="5.86"/>
  </r>
  <r>
    <n v="188880197"/>
    <s v="ml-workspace"/>
    <x v="67"/>
    <s v="ml-tooling"/>
    <s v="Organization"/>
    <s v="https://github.com/ml-tooling/ml-workspace"/>
    <s v="🛠 All-in-one web-based IDE specialized for machine learning and data science."/>
    <x v="2"/>
    <d v="2019-05-27T22:25:15"/>
    <d v="2026-09-05T04:20:42"/>
    <d v="2024-07-26T13:09:39"/>
    <n v="13331"/>
    <n v="3545"/>
    <n v="3545"/>
    <n v="457"/>
    <n v="0"/>
    <s v="main"/>
    <s v="anaconda, data-analysis, data-science, data-visualization, deep-learning, docker, gpu, jupyter, jupyter-lab, jupyter-notebook, kubernetes, machine-learning, neural-networks, nlp, python, pytorch, r, scikit-learn, tensorflow, vscode"/>
    <s v="Apache License 2.0"/>
    <s v="https://mltooling.org/ml-workspace"/>
    <b v="1"/>
    <b v="0"/>
    <b v="0"/>
    <b v="0"/>
    <b v="0"/>
    <b v="0"/>
    <b v="0"/>
    <s v="public"/>
    <n v="2667"/>
    <n v="10"/>
    <n v="780"/>
    <x v="3"/>
    <s v="May"/>
    <n v="2026"/>
    <n v="13.02"/>
    <s v="Original"/>
    <s v="Yes"/>
    <x v="1"/>
    <n v="4459"/>
    <s v="2026-09-15T00:00:00+00:00"/>
    <x v="0"/>
    <n v="0.12889999999999999"/>
    <n v="0"/>
  </r>
  <r>
    <n v="71822014"/>
    <s v="tad"/>
    <x v="68"/>
    <s v="antonycourtney"/>
    <s v="User"/>
    <s v="https://github.com/antonycourtney/tad"/>
    <s v="A desktop application for viewing and analyzing tabular data"/>
    <x v="9"/>
    <d v="2016-10-25T00:29:04"/>
    <d v="2026-09-06T06:22:26"/>
    <d v="2025-03-06T04:16:06"/>
    <n v="29291"/>
    <n v="3478"/>
    <n v="3478"/>
    <n v="134"/>
    <n v="166"/>
    <s v="master"/>
    <s v="csv, data-analysis, data-science, database, desktop-application, duckdb, parquet-viewer, pivot-tables, pivots, tabular-data"/>
    <s v="MIT License"/>
    <s v="http://tadviewer.com"/>
    <b v="1"/>
    <b v="1"/>
    <b v="1"/>
    <b v="1"/>
    <b v="0"/>
    <b v="0"/>
    <b v="0"/>
    <s v="public"/>
    <n v="3612"/>
    <n v="8"/>
    <n v="558"/>
    <x v="7"/>
    <s v="October"/>
    <n v="2026"/>
    <n v="28.6"/>
    <s v="Original"/>
    <s v="Yes"/>
    <x v="1"/>
    <n v="3746"/>
    <s v="2026-09-15T00:00:00+00:00"/>
    <x v="0"/>
    <n v="3.85E-2"/>
    <n v="47.73"/>
  </r>
  <r>
    <n v="10994345"/>
    <s v="root"/>
    <x v="69"/>
    <s v="root-project"/>
    <s v="Organization"/>
    <s v="https://github.com/root-project/root"/>
    <s v="The official repository for ROOT: analyzing, storing and visualizing big data, scientifically"/>
    <x v="7"/>
    <d v="2013-06-27T16:16:59"/>
    <d v="2026-09-09T12:07:17"/>
    <d v="2026-09-09T12:06:57"/>
    <n v="1590078"/>
    <n v="3292"/>
    <n v="3292"/>
    <n v="1555"/>
    <n v="650"/>
    <s v="master"/>
    <s v="c-plus-plus, cling, data-analysis, geometry, graphics, hacktoberfest, interpreter, machine-learning, mathematics, parallel, physics, python, root, root-cern, statistics, visualization"/>
    <s v="Other"/>
    <s v="https://root.cern"/>
    <b v="1"/>
    <b v="1"/>
    <b v="0"/>
    <b v="0"/>
    <b v="0"/>
    <b v="0"/>
    <b v="0"/>
    <s v="public"/>
    <n v="4827"/>
    <n v="5"/>
    <n v="5"/>
    <x v="11"/>
    <s v="June"/>
    <n v="2026"/>
    <n v="1552.81"/>
    <s v="Original"/>
    <s v="Yes"/>
    <x v="0"/>
    <n v="6402"/>
    <s v="2026-09-15T00:00:00+00:00"/>
    <x v="0"/>
    <n v="0.47239999999999999"/>
    <n v="197.45"/>
  </r>
  <r>
    <n v="29273084"/>
    <s v="pandas-datareader"/>
    <x v="70"/>
    <s v="pydata"/>
    <s v="Organization"/>
    <s v="https://github.com/pydata/pandas-datareader"/>
    <s v="Extract data from a wide range of Internet sources into a pandas DataFrame."/>
    <x v="0"/>
    <d v="2015-01-15T06:04:19"/>
    <d v="2026-09-07T17:56:37"/>
    <d v="2026-07-21T13:58:05"/>
    <n v="14783"/>
    <n v="3263"/>
    <n v="3263"/>
    <n v="692"/>
    <n v="147"/>
    <s v="main"/>
    <s v="data, data-analysis, dataset, econdb, economic-data, fama-french, finance, financial-data, fred, html, pandas, pydata, python, stock-data"/>
    <s v="Other"/>
    <s v="https://pydata.github.io/pandas-datareader/stable/index.html"/>
    <b v="1"/>
    <b v="1"/>
    <b v="1"/>
    <b v="1"/>
    <b v="0"/>
    <b v="0"/>
    <b v="0"/>
    <s v="public"/>
    <n v="4260"/>
    <n v="7"/>
    <n v="55"/>
    <x v="0"/>
    <s v="January"/>
    <n v="2026"/>
    <n v="14.44"/>
    <s v="Original"/>
    <s v="Yes"/>
    <x v="0"/>
    <n v="4647"/>
    <s v="2026-09-15T00:00:00+00:00"/>
    <x v="0"/>
    <n v="0.21210000000000001"/>
    <n v="45.05"/>
  </r>
  <r>
    <n v="542017915"/>
    <s v="graphic-walker"/>
    <x v="71"/>
    <s v="Kanaries"/>
    <s v="Organization"/>
    <s v="https://github.com/Kanaries/graphic-walker"/>
    <s v="An open source alternative to Tableau. Embeddable visual analytic"/>
    <x v="9"/>
    <d v="2022-09-27T15:32:28"/>
    <d v="2026-09-08T23:01:08"/>
    <d v="2026-09-08T16:06:12"/>
    <n v="4967"/>
    <n v="3238"/>
    <n v="3238"/>
    <n v="186"/>
    <n v="48"/>
    <s v="main"/>
    <s v="bi, data, data-analysis, data-mining, data-visualization, eda, k6s, kanaries, low-code, pivot-table, react, tableau, tableau-alternative, typescript, vega, vega-lite, visualization"/>
    <s v="Apache License 2.0"/>
    <s v="https://kanaries.net/graphic-walker"/>
    <b v="1"/>
    <b v="1"/>
    <b v="1"/>
    <b v="0"/>
    <b v="0"/>
    <b v="0"/>
    <b v="0"/>
    <s v="public"/>
    <n v="1448"/>
    <n v="6"/>
    <n v="6"/>
    <x v="9"/>
    <s v="September"/>
    <n v="2026"/>
    <n v="4.8499999999999996"/>
    <s v="Original"/>
    <s v="Yes"/>
    <x v="0"/>
    <n v="3610"/>
    <s v="2026-09-15T00:00:00+00:00"/>
    <x v="0"/>
    <n v="5.74E-2"/>
    <n v="14.82"/>
  </r>
  <r>
    <n v="1136039994"/>
    <s v="ChartGPU"/>
    <x v="72"/>
    <s v="ChartGPU"/>
    <s v="Organization"/>
    <s v="https://github.com/ChartGPU/ChartGPU"/>
    <s v="Beautiful, open source, WebGPU-based charting library"/>
    <x v="9"/>
    <d v="2026-01-17T06:22:00"/>
    <d v="2026-09-09T07:40:30"/>
    <d v="2026-08-24T17:36:47"/>
    <n v="19319"/>
    <n v="3222"/>
    <n v="3222"/>
    <n v="104"/>
    <n v="1"/>
    <s v="main"/>
    <s v="awesome-list, candlestick-chart, chart, chart-library, charting-library, charts, data-analysis, data-visualization, financial-charts, gpu, high-performance, open-source, scatter-plot, shaders, typescript, webgpu, wgsl"/>
    <s v="MIT License"/>
    <s v="https://chartgpu.io"/>
    <b v="1"/>
    <b v="1"/>
    <b v="0"/>
    <b v="1"/>
    <b v="0"/>
    <b v="0"/>
    <b v="0"/>
    <s v="public"/>
    <n v="240"/>
    <n v="5"/>
    <n v="21"/>
    <x v="12"/>
    <s v="January"/>
    <n v="2026"/>
    <n v="18.87"/>
    <s v="Original"/>
    <s v="Yes"/>
    <x v="0"/>
    <n v="3430"/>
    <s v="2026-09-15T00:00:00+00:00"/>
    <x v="0"/>
    <n v="3.2300000000000002E-2"/>
    <n v="0.31"/>
  </r>
  <r>
    <n v="114778979"/>
    <s v="awesome-TS-anomaly-detection"/>
    <x v="73"/>
    <s v="rob-med"/>
    <s v="User"/>
    <s v="https://github.com/rob-med/awesome-TS-anomaly-detection"/>
    <s v="List of tools &amp; datasets for anomaly detection on time-series data."/>
    <x v="5"/>
    <d v="2017-12-19T20:35:20"/>
    <d v="2026-09-08T13:00:17"/>
    <d v="2024-10-21T21:52:32"/>
    <n v="144"/>
    <n v="3163"/>
    <n v="3163"/>
    <n v="463"/>
    <n v="6"/>
    <s v="master"/>
    <s v="anomaly-detection, awesome-list, data-analysis, data-mining, machine-learning, outlier-detection, temporal-data, time-series"/>
    <s v="No License"/>
    <s v="Not Available"/>
    <b v="1"/>
    <b v="1"/>
    <b v="1"/>
    <b v="0"/>
    <b v="0"/>
    <b v="0"/>
    <b v="0"/>
    <s v="public"/>
    <n v="3191"/>
    <n v="6"/>
    <n v="693"/>
    <x v="15"/>
    <s v="December"/>
    <n v="2026"/>
    <n v="0.14000000000000001"/>
    <s v="Original"/>
    <s v="Yes"/>
    <x v="1"/>
    <n v="4089"/>
    <s v="2026-09-15T00:00:00+00:00"/>
    <x v="1"/>
    <n v="0.1464"/>
    <n v="1.9"/>
  </r>
  <r>
    <n v="290879784"/>
    <s v="igel"/>
    <x v="74"/>
    <s v="nidhaloff"/>
    <s v="User"/>
    <s v="https://github.com/nidhaloff/igel"/>
    <s v="a delightful machine learning tool that allows you to train, test, and use models without writing code"/>
    <x v="0"/>
    <d v="2020-08-28T02:24:59"/>
    <d v="2026-08-21T06:00:15"/>
    <d v="2025-12-07T23:55:00"/>
    <n v="19593"/>
    <n v="3138"/>
    <n v="3138"/>
    <n v="210"/>
    <n v="18"/>
    <s v="master"/>
    <s v="artificial-intelligence, automation, automl, automl-experiments, data-analysis, data-science, hacktoberfest, hacktoberfest2021, machine-learning, machine-learning-algorithms, machine-learning-library, machinelearning, neural-network, neural-networks, preprocessing, scikit-learn, scikitlearn-machine-learning, sklearn"/>
    <s v="MIT License"/>
    <s v="https://igel.readthedocs.io/en/latest/"/>
    <b v="1"/>
    <b v="1"/>
    <b v="1"/>
    <b v="0"/>
    <b v="0"/>
    <b v="0"/>
    <b v="0"/>
    <s v="public"/>
    <n v="2209"/>
    <n v="24"/>
    <n v="281"/>
    <x v="8"/>
    <s v="August"/>
    <n v="2026"/>
    <n v="19.13"/>
    <s v="Original"/>
    <s v="Yes"/>
    <x v="2"/>
    <n v="3558"/>
    <s v="2026-09-15T00:00:00+00:00"/>
    <x v="0"/>
    <n v="6.6900000000000001E-2"/>
    <n v="5.74"/>
  </r>
  <r>
    <n v="384111310"/>
    <s v="devlake"/>
    <x v="75"/>
    <s v="apache"/>
    <s v="Organization"/>
    <s v="https://github.com/apache/devlake"/>
    <s v="Apache DevLake is an open-source dev data platform to ingest, analyze, and visualize the fragmented data from DevOps tools, extracting insights for engineering excellence, developer experience, and community growth."/>
    <x v="8"/>
    <d v="2021-07-08T17:36:09"/>
    <d v="2026-09-08T23:24:39"/>
    <d v="2026-09-07T23:32:03"/>
    <n v="64391"/>
    <n v="3132"/>
    <n v="3132"/>
    <n v="807"/>
    <n v="47"/>
    <s v="main"/>
    <s v="dashboard-friendly, data, data-analysis, data-engineering, data-integration, data-transfers, devops, domain-layer, dora, etl, golang, hacktoberfest, integration, jira, open-source, user-friendly"/>
    <s v="Apache License 2.0"/>
    <s v="https://devlake.apache.org/"/>
    <b v="1"/>
    <b v="0"/>
    <b v="0"/>
    <b v="0"/>
    <b v="0"/>
    <b v="0"/>
    <b v="0"/>
    <s v="public"/>
    <n v="1894"/>
    <n v="6"/>
    <n v="7"/>
    <x v="6"/>
    <s v="July"/>
    <n v="2026"/>
    <n v="62.88"/>
    <s v="Original"/>
    <s v="Yes"/>
    <x v="0"/>
    <n v="4746"/>
    <s v="2026-09-15T00:00:00+00:00"/>
    <x v="0"/>
    <n v="0.25769999999999998"/>
    <n v="15.01"/>
  </r>
  <r>
    <n v="194002712"/>
    <s v="Financial-Knowledge-Graphs"/>
    <x v="76"/>
    <s v="jm199504"/>
    <s v="User"/>
    <s v="https://github.com/jm199504/Financial-Knowledge-Graphs"/>
    <s v="小型金融知识图谱构建流程（neo4j / python / cypher / KG）"/>
    <x v="2"/>
    <d v="2019-06-27T07:09:14"/>
    <d v="2026-09-05T16:12:39"/>
    <d v="2024-07-07T18:08:04"/>
    <n v="18215"/>
    <n v="3129"/>
    <n v="3129"/>
    <n v="568"/>
    <n v="10"/>
    <s v="master"/>
    <s v="cypher, data-analysis, graph-database, neo4j, python"/>
    <s v="No License"/>
    <s v="Not Available"/>
    <b v="1"/>
    <b v="1"/>
    <b v="1"/>
    <b v="0"/>
    <b v="0"/>
    <b v="0"/>
    <b v="0"/>
    <s v="public"/>
    <n v="2636"/>
    <n v="9"/>
    <n v="799"/>
    <x v="3"/>
    <s v="June"/>
    <n v="2026"/>
    <n v="17.79"/>
    <s v="Original"/>
    <s v="Yes"/>
    <x v="1"/>
    <n v="4265"/>
    <s v="2026-09-15T00:00:00+00:00"/>
    <x v="1"/>
    <n v="0.18149999999999999"/>
    <n v="3.2"/>
  </r>
  <r>
    <n v="262600128"/>
    <s v="sweetviz"/>
    <x v="77"/>
    <s v="fbdesignpro"/>
    <s v="User"/>
    <s v="https://github.com/fbdesignpro/sweetviz"/>
    <s v="Visualize and compare datasets, target values and associations, with one line of code."/>
    <x v="0"/>
    <d v="2020-05-09T20:55:47"/>
    <d v="2026-09-08T07:25:52"/>
    <d v="2026-04-12T00:51:12"/>
    <n v="16036"/>
    <n v="3125"/>
    <n v="3125"/>
    <n v="286"/>
    <n v="41"/>
    <s v="master"/>
    <s v="data-analysis, data-exploration, data-profiling, data-science, data-visualization, eda, exploration, exploratory-data-analysis, machine-learning, pandas, pandas-dataframe, python, statistics"/>
    <s v="MIT License"/>
    <s v="Not Available"/>
    <b v="1"/>
    <b v="1"/>
    <b v="1"/>
    <b v="1"/>
    <b v="0"/>
    <b v="0"/>
    <b v="0"/>
    <s v="public"/>
    <n v="2319"/>
    <n v="6"/>
    <n v="156"/>
    <x v="8"/>
    <s v="May"/>
    <n v="2026"/>
    <n v="15.66"/>
    <s v="Original"/>
    <s v="Yes"/>
    <x v="0"/>
    <n v="3697"/>
    <s v="2026-09-15T00:00:00+00:00"/>
    <x v="0"/>
    <n v="9.1499999999999998E-2"/>
    <n v="13.12"/>
  </r>
  <r>
    <n v="93925242"/>
    <s v="xlearn"/>
    <x v="78"/>
    <s v="aksnzhy"/>
    <s v="User"/>
    <s v="https://github.com/aksnzhy/xlearn"/>
    <s v="High performance, easy-to-use, and scalable machine learning (ML) package, including linear model (LR), factorization machines (FM), and field-aware factorization machines (FFM) for Python and CLI interface."/>
    <x v="7"/>
    <d v="2017-06-10T13:39:31"/>
    <d v="2026-09-02T14:41:02"/>
    <d v="2023-08-28T10:44:10"/>
    <n v="11184"/>
    <n v="3089"/>
    <n v="3089"/>
    <n v="516"/>
    <n v="194"/>
    <s v="master"/>
    <s v="data-analysis, data-science, factorization-machines, ffm, fm, machine-learning, statistics"/>
    <s v="Apache License 2.0"/>
    <s v="https://xlearn-doc.readthedocs.io/en/latest/index.html"/>
    <b v="1"/>
    <b v="1"/>
    <b v="1"/>
    <b v="0"/>
    <b v="0"/>
    <b v="0"/>
    <b v="0"/>
    <s v="public"/>
    <n v="3383"/>
    <n v="12"/>
    <n v="1113"/>
    <x v="15"/>
    <s v="June"/>
    <n v="2026"/>
    <n v="10.92"/>
    <s v="Original"/>
    <s v="Yes"/>
    <x v="1"/>
    <n v="4121"/>
    <s v="2026-09-15T00:00:00+00:00"/>
    <x v="0"/>
    <n v="0.16700000000000001"/>
    <n v="62.8"/>
  </r>
  <r>
    <n v="46631797"/>
    <s v="100-pandas-puzzles"/>
    <x v="79"/>
    <s v="ajcr"/>
    <s v="User"/>
    <s v="https://github.com/ajcr/100-pandas-puzzles"/>
    <s v="100 data puzzles for pandas, ranging from short and simple to super tricky (60% complete)"/>
    <x v="2"/>
    <d v="2015-11-22T01:39:52"/>
    <d v="2026-09-08T18:55:09"/>
    <d v="2024-07-10T22:20:05"/>
    <n v="168"/>
    <n v="3026"/>
    <n v="3026"/>
    <n v="4010"/>
    <n v="36"/>
    <s v="master"/>
    <s v="data-analysis, numpy, pandas, python"/>
    <s v="MIT License"/>
    <s v="Not Available"/>
    <b v="1"/>
    <b v="1"/>
    <b v="1"/>
    <b v="0"/>
    <b v="0"/>
    <b v="0"/>
    <b v="0"/>
    <s v="public"/>
    <n v="3950"/>
    <n v="6"/>
    <n v="796"/>
    <x v="0"/>
    <s v="November"/>
    <n v="2026"/>
    <n v="0.16"/>
    <s v="Original"/>
    <s v="Yes"/>
    <x v="1"/>
    <n v="11046"/>
    <s v="2026-09-15T00:00:00+00:00"/>
    <x v="0"/>
    <n v="1.3251999999999999"/>
    <n v="11.9"/>
  </r>
  <r>
    <n v="1066509034"/>
    <s v="deepnote"/>
    <x v="80"/>
    <s v="deepnote"/>
    <s v="Organization"/>
    <s v="https://github.com/deepnote/deepnote"/>
    <s v="Deepnote is a drop-in replacement for Jupyter with an AI-first design, sleek UI, new blocks, and native data integrations. Use Python, R, and SQL locally in your favorite IDE, then scale to Deepnote cloud for real-time collaboration, Deepnote agent, and deployable data apps. https://deepnote.com/"/>
    <x v="9"/>
    <d v="2025-09-29T20:54:25"/>
    <d v="2026-09-09T02:16:59"/>
    <d v="2026-09-09T04:42:42"/>
    <n v="119060"/>
    <n v="3005"/>
    <n v="3005"/>
    <n v="198"/>
    <n v="36"/>
    <s v="main"/>
    <s v="artificial-intelligence, data, data-analysis, data-science, data-visualization, deepnote, eda, jupyter, jupyterhub, jupyterlab, machine-learning, notebooks, python, r, sql"/>
    <s v="Apache License 2.0"/>
    <s v="https://deepnote.com/?utm_source=github&amp;utm_medium=github&amp;utm_campaign=github&amp;utm_content=readme_main"/>
    <b v="1"/>
    <b v="0"/>
    <b v="0"/>
    <b v="0"/>
    <b v="0"/>
    <b v="0"/>
    <b v="0"/>
    <s v="public"/>
    <n v="350"/>
    <n v="6"/>
    <n v="6"/>
    <x v="2"/>
    <s v="September"/>
    <n v="2026"/>
    <n v="116.27"/>
    <s v="Original"/>
    <s v="Yes"/>
    <x v="0"/>
    <n v="3401"/>
    <s v="2026-09-15T00:00:00+00:00"/>
    <x v="0"/>
    <n v="6.59E-2"/>
    <n v="11.98"/>
  </r>
  <r>
    <n v="108669343"/>
    <s v="DataFrame"/>
    <x v="81"/>
    <s v="hosseinmoein"/>
    <s v="User"/>
    <s v="https://github.com/hosseinmoein/DataFrame"/>
    <s v="C++ DataFrame for statistical, financial, and ML analysis in modern C++"/>
    <x v="7"/>
    <d v="2017-10-28T22:55:45"/>
    <d v="2026-09-07T23:40:49"/>
    <d v="2026-09-06T01:04:33"/>
    <n v="51809"/>
    <n v="2982"/>
    <n v="2982"/>
    <n v="360"/>
    <n v="1"/>
    <s v="master"/>
    <s v="ai, cpp, data-analysis, data-science, dataframe, financial-data-analysis, financial-engineering, large-data, machine-learning, multidimensional-data, numerical-analysis, statistical, statistical-analysis, tensor, tensorboard, trading-algorithms, trading-strategies"/>
    <s v="BSD 3-Clause &quot;New&quot; or &quot;Revised&quot; License"/>
    <s v="https://hosseinmoein.github.io/DataFrame/"/>
    <b v="1"/>
    <b v="1"/>
    <b v="1"/>
    <b v="1"/>
    <b v="0"/>
    <b v="0"/>
    <b v="0"/>
    <s v="public"/>
    <n v="3243"/>
    <n v="7"/>
    <n v="9"/>
    <x v="15"/>
    <s v="October"/>
    <n v="2026"/>
    <n v="50.59"/>
    <s v="Original"/>
    <s v="Yes"/>
    <x v="0"/>
    <n v="3702"/>
    <s v="2026-09-15T00:00:00+00:00"/>
    <x v="0"/>
    <n v="0.1207"/>
    <n v="0.34"/>
  </r>
  <r>
    <n v="376124046"/>
    <s v="datastation"/>
    <x v="82"/>
    <s v="multiprocessio"/>
    <s v="Organization"/>
    <s v="https://github.com/multiprocessio/datastation"/>
    <s v="App to easily query, script, and visualize data from every database, file, and API."/>
    <x v="9"/>
    <d v="2021-06-12T00:59:06"/>
    <d v="2026-08-29T02:05:26"/>
    <d v="2023-11-11T00:14:29"/>
    <n v="162412"/>
    <n v="2954"/>
    <n v="2954"/>
    <n v="112"/>
    <n v="38"/>
    <s v="main"/>
    <s v="apache2, cockroachdb, data-analysis, data-visualization, database, julia, log-analysis, mariadb, mysql, nginx, nodejs, postgresql, python, rstats, ruby, sql, sql-editor, sql-server, sqlite3, syslog"/>
    <s v="Other"/>
    <s v="https://datastation.multiprocess.io"/>
    <b v="1"/>
    <b v="1"/>
    <b v="1"/>
    <b v="0"/>
    <b v="0"/>
    <b v="0"/>
    <b v="0"/>
    <s v="public"/>
    <n v="1921"/>
    <n v="17"/>
    <n v="1039"/>
    <x v="6"/>
    <s v="June"/>
    <n v="2026"/>
    <n v="158.61000000000001"/>
    <s v="Original"/>
    <s v="Yes"/>
    <x v="1"/>
    <n v="3178"/>
    <s v="2026-09-15T00:00:00+00:00"/>
    <x v="0"/>
    <n v="3.7900000000000003E-2"/>
    <n v="12.86"/>
  </r>
  <r>
    <n v="436466520"/>
    <s v="rill"/>
    <x v="83"/>
    <s v="rilldata"/>
    <s v="Organization"/>
    <s v="https://github.com/rilldata/rill"/>
    <s v="The fastest business intelligence tool for humans and agents."/>
    <x v="8"/>
    <d v="2021-12-09T08:40:31"/>
    <d v="2026-09-08T21:30:07"/>
    <d v="2026-09-09T12:31:50"/>
    <n v="642814"/>
    <n v="2873"/>
    <n v="2873"/>
    <n v="199"/>
    <n v="212"/>
    <s v="main"/>
    <s v="ai, ai-chatbot, bi, business-analytics, csv, data, data-analysis, data-visualization, dataviz, duckdb, gen-ai, golang, parquet, parquet-tools, parquet-viewer, s3, sql, sql-editor, sveltekit"/>
    <s v="Apache License 2.0"/>
    <s v="https://www.rilldata.com"/>
    <b v="1"/>
    <b v="1"/>
    <b v="1"/>
    <b v="0"/>
    <b v="0"/>
    <b v="0"/>
    <b v="0"/>
    <s v="public"/>
    <n v="1740"/>
    <n v="6"/>
    <n v="5"/>
    <x v="6"/>
    <s v="December"/>
    <n v="2026"/>
    <n v="627.75"/>
    <s v="Original"/>
    <s v="Yes"/>
    <x v="0"/>
    <n v="3271"/>
    <s v="2026-09-15T00:00:00+00:00"/>
    <x v="0"/>
    <n v="6.93E-2"/>
    <n v="73.790000000000006"/>
  </r>
  <r>
    <n v="481901631"/>
    <s v="secretflow"/>
    <x v="84"/>
    <s v="secretflow"/>
    <s v="Organization"/>
    <s v="https://github.com/secretflow/secretflow"/>
    <s v="A unified framework for privacy-preserving data analysis and machine learning"/>
    <x v="0"/>
    <d v="2022-04-15T14:37:44"/>
    <d v="2026-09-09T09:18:32"/>
    <d v="2026-04-24T13:27:55"/>
    <n v="210786"/>
    <n v="2707"/>
    <n v="2707"/>
    <n v="470"/>
    <n v="92"/>
    <s v="main"/>
    <s v="confidential-computing, data-analysis, differential-privacy, federated-learning, homomorphic-encryption, machine-learning, privacy-preserving, private-set-intersection, secure-multiparty-computation, split-learning, trusted-execution-environment"/>
    <s v="Apache License 2.0"/>
    <s v="https://www.secretflow.org.cn/docs/secretflow/en/"/>
    <b v="1"/>
    <b v="1"/>
    <b v="1"/>
    <b v="0"/>
    <b v="0"/>
    <b v="0"/>
    <b v="0"/>
    <s v="public"/>
    <n v="1613"/>
    <n v="5"/>
    <n v="143"/>
    <x v="9"/>
    <s v="April"/>
    <n v="2026"/>
    <n v="205.85"/>
    <s v="Original"/>
    <s v="Yes"/>
    <x v="0"/>
    <n v="3647"/>
    <s v="2026-09-15T00:00:00+00:00"/>
    <x v="0"/>
    <n v="0.1736"/>
    <n v="33.99"/>
  </r>
  <r>
    <n v="148087762"/>
    <s v="evadb"/>
    <x v="85"/>
    <s v="georgia-tech-db"/>
    <s v="Organization"/>
    <s v="https://github.com/georgia-tech-db/evadb"/>
    <s v="Database system for AI-powered apps"/>
    <x v="0"/>
    <d v="2018-09-10T07:56:03"/>
    <d v="2026-08-30T20:24:24"/>
    <d v="2024-05-17T22:03:06"/>
    <n v="162703"/>
    <n v="2672"/>
    <n v="2672"/>
    <n v="258"/>
    <n v="142"/>
    <s v="staging"/>
    <s v="agent, ai, auto-gpt, chatgpt, data-analysis, database, eva, gpt-4, gpt4all, hacktoberfest, huggingface, labeling, langchain, llm, object-detection, serving, video-analytics"/>
    <s v="Apache License 2.0"/>
    <s v="https://evadb.readthedocs.io/en/stable/"/>
    <b v="1"/>
    <b v="1"/>
    <b v="1"/>
    <b v="1"/>
    <b v="0"/>
    <b v="1"/>
    <b v="0"/>
    <s v="public"/>
    <n v="2926"/>
    <n v="15"/>
    <n v="850"/>
    <x v="4"/>
    <s v="September"/>
    <n v="2026"/>
    <n v="158.88999999999999"/>
    <s v="Original"/>
    <s v="Yes"/>
    <x v="1"/>
    <n v="3188"/>
    <s v="2026-09-15T00:00:00+00:00"/>
    <x v="0"/>
    <n v="9.6600000000000005E-2"/>
    <n v="53.14"/>
  </r>
  <r>
    <n v="450188582"/>
    <s v="mito"/>
    <x v="86"/>
    <s v="mito-ds"/>
    <s v="Organization"/>
    <s v="https://github.com/mito-ds/mito"/>
    <s v="Jupyter extensions that help you write code faster: Context aware AI Chat, Autocomplete, and Spreadsheet"/>
    <x v="2"/>
    <d v="2022-01-20T22:43:19"/>
    <d v="2026-09-06T02:43:54"/>
    <d v="2026-07-22T01:06:01"/>
    <n v="398730"/>
    <n v="2646"/>
    <n v="2646"/>
    <n v="206"/>
    <n v="293"/>
    <s v="dev"/>
    <s v="ai, data, data-analysis, data-science, data-visualization, jupyter, jupyterhub, jupyterlab, jupyterlab-extension, pandas, python, streamlit-component"/>
    <s v="Other"/>
    <s v="https://trymito.io"/>
    <b v="1"/>
    <b v="1"/>
    <b v="1"/>
    <b v="0"/>
    <b v="0"/>
    <b v="0"/>
    <b v="0"/>
    <s v="public"/>
    <n v="1698"/>
    <n v="9"/>
    <n v="55"/>
    <x v="9"/>
    <s v="January"/>
    <n v="2026"/>
    <n v="389.38"/>
    <s v="Original"/>
    <s v="Yes"/>
    <x v="0"/>
    <n v="3058"/>
    <s v="2026-09-15T00:00:00+00:00"/>
    <x v="0"/>
    <n v="7.7899999999999997E-2"/>
    <n v="110.73"/>
  </r>
  <r>
    <n v="605682921"/>
    <s v="hamilton"/>
    <x v="87"/>
    <s v="apache"/>
    <s v="Organization"/>
    <s v="https://github.com/apache/hamilton"/>
    <s v="Apache Hamilton helps data scientists and engineers define testable, modular, self-documenting dataflows, that encode lineage/tracing and metadata. Runs and scales everywhere python does."/>
    <x v="2"/>
    <d v="2023-02-23T22:46:48"/>
    <d v="2026-09-06T13:26:47"/>
    <d v="2026-09-09T00:04:06"/>
    <n v="186099"/>
    <n v="2586"/>
    <n v="2586"/>
    <n v="214"/>
    <n v="167"/>
    <s v="main"/>
    <s v="dag, data-analysis, data-engineering, data-science, dataframe, etl, etl-framework, etl-pipeline, feature-engineering, hacktoberfest, lineage, llmops, machine-learning, mlops, orchestration, pandas, python, rag, software-engineering"/>
    <s v="Apache License 2.0"/>
    <s v="https://hamilton.apache.org/"/>
    <b v="1"/>
    <b v="1"/>
    <b v="1"/>
    <b v="1"/>
    <b v="0"/>
    <b v="0"/>
    <b v="0"/>
    <s v="public"/>
    <n v="1299"/>
    <n v="8"/>
    <n v="6"/>
    <x v="10"/>
    <s v="February"/>
    <n v="2026"/>
    <n v="181.74"/>
    <s v="Original"/>
    <s v="Yes"/>
    <x v="0"/>
    <n v="3014"/>
    <s v="2026-09-15T00:00:00+00:00"/>
    <x v="0"/>
    <n v="8.2799999999999999E-2"/>
    <n v="64.58"/>
  </r>
  <r>
    <n v="268608991"/>
    <s v="Linear-Algebra-With-Python"/>
    <x v="88"/>
    <s v="weijie-chen"/>
    <s v="User"/>
    <s v="https://github.com/weijie-chen/Linear-Algebra-With-Python"/>
    <s v="Lecture Notes for Linear Algebra Featuring Python. This series of lecture notes will walk you through all the must-know concepts that set the foundation of data science or advanced quantitative skillsets. Suitable for statistician/econometrician, quantitative analysts, data scientists and etc. to quickly refresh the linear algebra with the assistance of Python computation and visualization."/>
    <x v="2"/>
    <d v="2020-06-02T00:37:55"/>
    <d v="2026-09-06T23:24:40"/>
    <d v="2024-09-05T22:10:42"/>
    <n v="20554"/>
    <n v="2569"/>
    <n v="2569"/>
    <n v="617"/>
    <n v="3"/>
    <s v="master"/>
    <s v="computational-science, data-analysis, data-science, data-visualization, diagonalization, eigenvalues, eigenvectors, gram-schmidt, jupyter, linear-algebra, linear-transformations, mathematics, matrix, matrix-calculations, multivariate-normal-distribution, null-space, python, singular-value-decomposition, symmetric-matrices, vector-space"/>
    <s v="MIT License"/>
    <s v="Not Available"/>
    <b v="0"/>
    <b v="1"/>
    <b v="1"/>
    <b v="1"/>
    <b v="0"/>
    <b v="0"/>
    <b v="0"/>
    <s v="public"/>
    <n v="2296"/>
    <n v="8"/>
    <n v="739"/>
    <x v="8"/>
    <s v="June"/>
    <n v="2026"/>
    <n v="20.07"/>
    <s v="Original"/>
    <s v="Yes"/>
    <x v="1"/>
    <n v="3803"/>
    <s v="2026-09-15T00:00:00+00:00"/>
    <x v="0"/>
    <n v="0.2402"/>
    <n v="1.17"/>
  </r>
  <r>
    <n v="248739733"/>
    <s v="gopup"/>
    <x v="89"/>
    <s v="justinzm"/>
    <s v="User"/>
    <s v="https://github.com/justinzm/gopup"/>
    <s v="数据接口：百度、谷歌、头条、微博指数,宏观数据，利率数据，货币汇率，千里马、独角兽公司，新闻联播文字稿，影视票房数据，高校名单，疫情数据…"/>
    <x v="0"/>
    <d v="2020-03-20T17:03:00"/>
    <d v="2026-09-08T07:17:58"/>
    <d v="2023-09-15T09:40:37"/>
    <n v="706"/>
    <n v="2546"/>
    <n v="2546"/>
    <n v="380"/>
    <n v="66"/>
    <s v="master"/>
    <s v="covid19-data, data, data-analysis, data-science, datasets, economic-data, gopup, index-data, python"/>
    <s v="No License"/>
    <s v="http://www.gopup.cn"/>
    <b v="1"/>
    <b v="1"/>
    <b v="1"/>
    <b v="0"/>
    <b v="0"/>
    <b v="0"/>
    <b v="0"/>
    <s v="public"/>
    <n v="2369"/>
    <n v="6"/>
    <n v="1095"/>
    <x v="8"/>
    <s v="March"/>
    <n v="2026"/>
    <n v="0.69"/>
    <s v="Original"/>
    <s v="Yes"/>
    <x v="1"/>
    <n v="3306"/>
    <s v="2026-09-15T00:00:00+00:00"/>
    <x v="1"/>
    <n v="0.14929999999999999"/>
    <n v="25.92"/>
  </r>
  <r>
    <n v="88613768"/>
    <s v="AAChartKit-Swift"/>
    <x v="90"/>
    <s v="AAChartModel"/>
    <s v="User"/>
    <s v="https://github.com/AAChartModel/AAChartKit-Swift"/>
    <s v="📈📊📱💻🖥️An elegant modern declarative data visualization chart framework for iOS, iPadOS and macOS. Extremely powerful, supports line, spline, area, areaspline, column, bar, pie, scatter, angular gauges, arearange, areasplinerange, columnrange, bubble, box plot, error bars, funnel, waterfall and polar chart types. 极其精美而又强大的现代化声明式数据可视化图表框架,支持柱状图、条形图、折线图、曲线图、折线填充图、曲线填充图、气泡图、扇形图、环形图、散点图、雷达图、混合图等各种类型的多达几十种的信息图图表,完全满足工作所需."/>
    <x v="12"/>
    <d v="2017-04-18T16:13:14"/>
    <d v="2026-09-06T03:37:18"/>
    <d v="2026-04-22T09:08:34"/>
    <n v="4732"/>
    <n v="2524"/>
    <n v="2524"/>
    <n v="263"/>
    <n v="160"/>
    <s v="master"/>
    <s v="animation, area-chart, bar-chart, bubble-chart, chart, column-chart, data-analysis, data-visualization, draw, graph, graphics, ios, line-chart, model, objective-c, pie, plot, spline-chart, swift, view"/>
    <s v="MIT License"/>
    <s v="https://cocoapods.org/pods/AAInfographics"/>
    <b v="1"/>
    <b v="1"/>
    <b v="1"/>
    <b v="1"/>
    <b v="0"/>
    <b v="0"/>
    <b v="0"/>
    <s v="public"/>
    <n v="3436"/>
    <n v="9"/>
    <n v="145"/>
    <x v="15"/>
    <s v="April"/>
    <n v="2026"/>
    <n v="4.62"/>
    <s v="Original"/>
    <s v="Yes"/>
    <x v="0"/>
    <n v="3050"/>
    <s v="2026-09-15T00:00:00+00:00"/>
    <x v="0"/>
    <n v="0.1042"/>
    <n v="63.39"/>
  </r>
  <r>
    <n v="146321178"/>
    <s v="hyperlearn"/>
    <x v="91"/>
    <s v="unslothai"/>
    <s v="Organization"/>
    <s v="https://github.com/unslothai/hyperlearn"/>
    <s v="2-2000x faster ML algos, 50% less memory usage, works on all hardware - new and old."/>
    <x v="2"/>
    <d v="2018-08-27T21:30:47"/>
    <d v="2026-09-07T04:35:58"/>
    <d v="2024-11-19T07:39:54"/>
    <n v="48965"/>
    <n v="2511"/>
    <n v="2511"/>
    <n v="168"/>
    <n v="2"/>
    <s v="master"/>
    <s v="data-analysis, data-science, deep-learning, econometrics, gpu, machine-learning, neural-network, optimization, python, pytorch, regression-models, research, scikit-learn, statistics, statsmodels, tensor"/>
    <s v="Apache License 2.0"/>
    <s v="https://unsloth.ai"/>
    <b v="1"/>
    <b v="1"/>
    <b v="1"/>
    <b v="0"/>
    <b v="0"/>
    <b v="0"/>
    <b v="0"/>
    <s v="public"/>
    <n v="2940"/>
    <n v="8"/>
    <n v="664"/>
    <x v="4"/>
    <s v="August"/>
    <n v="2026"/>
    <n v="47.82"/>
    <s v="Original"/>
    <s v="Yes"/>
    <x v="1"/>
    <n v="2847"/>
    <s v="2026-09-15T00:00:00+00:00"/>
    <x v="0"/>
    <n v="6.6900000000000001E-2"/>
    <n v="0.8"/>
  </r>
  <r>
    <n v="564689243"/>
    <s v="ArcticDB"/>
    <x v="92"/>
    <s v="man-group"/>
    <s v="Organization"/>
    <s v="https://github.com/man-group/ArcticDB"/>
    <s v="ArcticDB is a high performance, serverless DataFrame database built for the Python Data Science ecosystem."/>
    <x v="7"/>
    <d v="2022-11-11T14:39:46"/>
    <d v="2026-09-09T03:41:37"/>
    <d v="2026-09-09T12:27:33"/>
    <n v="257619"/>
    <n v="2509"/>
    <n v="2509"/>
    <n v="216"/>
    <n v="335"/>
    <s v="master"/>
    <s v="big-data, data, data-analysis, data-science, database, dataframe, pandas, quantitative-analysis, quantitative-finance, quantitative-trading"/>
    <s v="Other"/>
    <s v="http://arcticdb.io"/>
    <b v="1"/>
    <b v="1"/>
    <b v="1"/>
    <b v="1"/>
    <b v="0"/>
    <b v="0"/>
    <b v="0"/>
    <s v="public"/>
    <n v="1403"/>
    <n v="6"/>
    <n v="5"/>
    <x v="9"/>
    <s v="November"/>
    <n v="2026"/>
    <n v="251.58"/>
    <s v="Original"/>
    <s v="Yes"/>
    <x v="0"/>
    <n v="2941"/>
    <s v="2026-09-15T00:00:00+00:00"/>
    <x v="0"/>
    <n v="8.6099999999999996E-2"/>
    <n v="133.52000000000001"/>
  </r>
  <r>
    <n v="401275197"/>
    <s v="elementary"/>
    <x v="93"/>
    <s v="elementary-data"/>
    <s v="Organization"/>
    <s v="https://github.com/elementary-data/elementary"/>
    <s v="The dbt-native data observability solution for data &amp; analytics engineers. Monitor your data pipelines in minutes. Available as self-hosted or cloud service with premium features."/>
    <x v="13"/>
    <d v="2021-08-30T14:15:23"/>
    <d v="2026-09-08T22:05:11"/>
    <d v="2026-09-09T11:56:05"/>
    <n v="250053"/>
    <n v="2406"/>
    <n v="2406"/>
    <n v="226"/>
    <n v="11"/>
    <s v="master"/>
    <s v="analytics-engineer, bigquery, data-analysis, data-governance, data-lineage, data-observability, data-pipeline, data-pipelines, data-reliability, data-warehouse, dataops, dbt, dbt-artifacts, dbt-packages, lineage, redshift, snowflake"/>
    <s v="Apache License 2.0"/>
    <s v="https://www.elementary-data.com/"/>
    <b v="1"/>
    <b v="1"/>
    <b v="1"/>
    <b v="0"/>
    <b v="0"/>
    <b v="0"/>
    <b v="0"/>
    <s v="public"/>
    <n v="1841"/>
    <n v="6"/>
    <n v="5"/>
    <x v="6"/>
    <s v="August"/>
    <n v="2026"/>
    <n v="244.19"/>
    <s v="Original"/>
    <s v="Yes"/>
    <x v="0"/>
    <n v="2858"/>
    <s v="2026-09-15T00:00:00+00:00"/>
    <x v="0"/>
    <n v="9.3899999999999997E-2"/>
    <n v="4.57"/>
  </r>
  <r>
    <n v="297152797"/>
    <s v="sqliteviz"/>
    <x v="94"/>
    <s v="lana-k"/>
    <s v="User"/>
    <s v="https://github.com/lana-k/sqliteviz"/>
    <s v="Instant offline SQL-powered data visualisation in your browser"/>
    <x v="3"/>
    <d v="2020-09-21T01:25:31"/>
    <d v="2026-08-22T03:08:26"/>
    <d v="2026-07-27T00:28:54"/>
    <n v="128771"/>
    <n v="2353"/>
    <n v="2353"/>
    <n v="135"/>
    <n v="20"/>
    <s v="master"/>
    <s v="charting, csv, data-analysis, pivot, pivot-table, plotly, plotting, sql, sqlite, visualization"/>
    <s v="Apache License 2.0"/>
    <s v="https://sqliteviz.com"/>
    <b v="1"/>
    <b v="1"/>
    <b v="0"/>
    <b v="1"/>
    <b v="0"/>
    <b v="0"/>
    <b v="0"/>
    <s v="public"/>
    <n v="2185"/>
    <n v="24"/>
    <n v="50"/>
    <x v="8"/>
    <s v="September"/>
    <n v="2026"/>
    <n v="125.75"/>
    <s v="Original"/>
    <s v="Yes"/>
    <x v="0"/>
    <n v="2623"/>
    <s v="2026-09-15T00:00:00+00:00"/>
    <x v="0"/>
    <n v="5.74E-2"/>
    <n v="8.5"/>
  </r>
  <r>
    <n v="93753128"/>
    <s v="awesome-business-intelligence"/>
    <x v="95"/>
    <s v="thenaturalist"/>
    <s v="User"/>
    <s v="https://github.com/thenaturalist/awesome-business-intelligence"/>
    <s v="Actively curated list of awesome BI tools. PRs welcome!"/>
    <x v="5"/>
    <d v="2017-06-08T19:04:02"/>
    <d v="2026-09-01T23:46:40"/>
    <d v="2024-08-21T16:38:26"/>
    <n v="181"/>
    <n v="2317"/>
    <n v="2317"/>
    <n v="300"/>
    <n v="27"/>
    <s v="master"/>
    <s v="awesome-list, business-intelligence, data-analysis, data-science, data-visualization, database, etl, sql"/>
    <s v="MIT License"/>
    <s v="Not Available"/>
    <b v="1"/>
    <b v="1"/>
    <b v="1"/>
    <b v="0"/>
    <b v="0"/>
    <b v="0"/>
    <b v="0"/>
    <s v="public"/>
    <n v="3385"/>
    <n v="13"/>
    <n v="754"/>
    <x v="15"/>
    <s v="June"/>
    <n v="2026"/>
    <n v="0.18"/>
    <s v="Original"/>
    <s v="Yes"/>
    <x v="1"/>
    <n v="2917"/>
    <s v="2026-09-15T00:00:00+00:00"/>
    <x v="0"/>
    <n v="0.1295"/>
    <n v="11.65"/>
  </r>
  <r>
    <n v="417448864"/>
    <s v="datart"/>
    <x v="96"/>
    <s v="running-elephant"/>
    <s v="Organization"/>
    <s v="https://github.com/running-elephant/datart"/>
    <s v="Datart is a next generation Data Visualization Open Platform"/>
    <x v="9"/>
    <d v="2021-10-15T15:20:39"/>
    <d v="2026-09-09T08:31:46"/>
    <d v="2025-02-10T13:20:01"/>
    <n v="21493"/>
    <n v="2305"/>
    <n v="2305"/>
    <n v="655"/>
    <n v="415"/>
    <s v="master"/>
    <s v="analytics, bi, business-analytics, business-intelligence, chart, d3, dashboard, data-analysis, data-analytics, data-engineering, data-visualization, data-viz, datart, davinci, display, echarts, react, report, sql-editor, typescript"/>
    <s v="Apache License 2.0"/>
    <s v="https://running-elephant.github.io/datart-docs/"/>
    <b v="1"/>
    <b v="1"/>
    <b v="1"/>
    <b v="0"/>
    <b v="0"/>
    <b v="0"/>
    <b v="0"/>
    <s v="public"/>
    <n v="1795"/>
    <n v="5"/>
    <n v="581"/>
    <x v="6"/>
    <s v="October"/>
    <n v="2026"/>
    <n v="20.99"/>
    <s v="Original"/>
    <s v="Yes"/>
    <x v="1"/>
    <n v="3615"/>
    <s v="2026-09-15T00:00:00+00:00"/>
    <x v="0"/>
    <n v="0.28420000000000001"/>
    <n v="180.04"/>
  </r>
  <r>
    <n v="84213938"/>
    <s v="tabix"/>
    <x v="97"/>
    <s v="tabixio"/>
    <s v="Organization"/>
    <s v="https://github.com/tabixio/tabix"/>
    <s v="Tabix.io UI"/>
    <x v="9"/>
    <d v="2017-03-07T20:47:55"/>
    <d v="2026-09-01T23:46:47"/>
    <d v="2023-01-16T01:32:30"/>
    <n v="37230"/>
    <n v="2299"/>
    <n v="2299"/>
    <n v="265"/>
    <n v="46"/>
    <s v="master"/>
    <s v="bi, business-intelligence, businessintelligence, clickhouse, dashboard, data-analysis, data-visualization, sql-query, tabix"/>
    <s v="Other"/>
    <s v="https://tabix.io"/>
    <b v="1"/>
    <b v="0"/>
    <b v="0"/>
    <b v="0"/>
    <b v="0"/>
    <b v="0"/>
    <b v="0"/>
    <s v="public"/>
    <n v="3478"/>
    <n v="13"/>
    <n v="1338"/>
    <x v="15"/>
    <s v="March"/>
    <n v="2026"/>
    <n v="36.36"/>
    <s v="Original"/>
    <s v="Yes"/>
    <x v="1"/>
    <n v="2829"/>
    <s v="2026-09-15T00:00:00+00:00"/>
    <x v="0"/>
    <n v="0.1153"/>
    <n v="20.010000000000002"/>
  </r>
  <r>
    <n v="183729552"/>
    <s v="Python"/>
    <x v="98"/>
    <s v="Tanu-N-Prabhu"/>
    <s v="User"/>
    <s v="https://github.com/Tanu-N-Prabhu/Python"/>
    <s v="This repository helps you learn Python and Machine Learning from scratch."/>
    <x v="2"/>
    <d v="2019-04-27T10:19:56"/>
    <d v="2026-09-09T11:05:02"/>
    <d v="2026-09-09T08:13:52"/>
    <n v="90791"/>
    <n v="2260"/>
    <n v="2260"/>
    <n v="933"/>
    <n v="10"/>
    <s v="master"/>
    <s v="data, data-analysis, data-visualization, dataanalysis, datascraping, google-colab, google-colab-notebook, jupyter-notebook, machine-learning, machine-learning-algorithms, numpy, numpy-arrays, pandas-dataframe, prediction, python, python-3, python3"/>
    <s v="No License"/>
    <s v="https://github.com/Tanu-N-Prabhu"/>
    <b v="1"/>
    <b v="1"/>
    <b v="1"/>
    <b v="1"/>
    <b v="0"/>
    <b v="0"/>
    <b v="0"/>
    <s v="public"/>
    <n v="2697"/>
    <n v="5"/>
    <n v="5"/>
    <x v="3"/>
    <s v="April"/>
    <n v="2026"/>
    <n v="88.66"/>
    <s v="Original"/>
    <s v="Yes"/>
    <x v="0"/>
    <n v="4126"/>
    <s v="2026-09-15T00:00:00+00:00"/>
    <x v="1"/>
    <n v="0.4128"/>
    <n v="4.42"/>
  </r>
  <r>
    <n v="55170630"/>
    <s v="pandas-videos"/>
    <x v="99"/>
    <s v="justmarkham"/>
    <s v="User"/>
    <s v="https://github.com/justmarkham/pandas-videos"/>
    <s v="Jupyter notebook and datasets from the pandas video series"/>
    <x v="2"/>
    <d v="2016-03-31T23:09:41"/>
    <d v="2026-09-08T20:13:22"/>
    <d v="2024-03-06T00:58:51"/>
    <n v="1927"/>
    <n v="2251"/>
    <n v="2251"/>
    <n v="1920"/>
    <n v="0"/>
    <s v="master"/>
    <s v="data-analysis, data-cleaning, data-science, jupyter-notebook, pandas, python, tutorial"/>
    <s v="No License"/>
    <s v="https://courses.dataschool.io/pandas-in-30-days"/>
    <b v="1"/>
    <b v="1"/>
    <b v="1"/>
    <b v="0"/>
    <b v="0"/>
    <b v="0"/>
    <b v="0"/>
    <s v="public"/>
    <n v="3819"/>
    <n v="6"/>
    <n v="923"/>
    <x v="7"/>
    <s v="March"/>
    <n v="2026"/>
    <n v="1.88"/>
    <s v="Original"/>
    <s v="Yes"/>
    <x v="1"/>
    <n v="6091"/>
    <s v="2026-09-15T00:00:00+00:00"/>
    <x v="1"/>
    <n v="0.8529999999999999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9842D-A7F8-4A39-9B12-2158DAB209D7}" name="PivotCreationTrend"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reation Year">
  <location ref="D22:E40" firstHeaderRow="1" firstDataRow="1" firstDataCol="1"/>
  <pivotFields count="43">
    <pivotField dataField="1" showAll="0"/>
    <pivotField showAll="0"/>
    <pivotField showAll="0"/>
    <pivotField showAll="0"/>
    <pivotField showAll="0"/>
    <pivotField showAll="0"/>
    <pivotField showAll="0"/>
    <pivotField showAll="0">
      <items count="15">
        <item x="6"/>
        <item x="7"/>
        <item x="1"/>
        <item x="8"/>
        <item x="13"/>
        <item x="4"/>
        <item x="3"/>
        <item x="2"/>
        <item x="5"/>
        <item x="0"/>
        <item x="11"/>
        <item x="10"/>
        <item x="12"/>
        <item x="9"/>
        <item t="default"/>
      </items>
    </pivotField>
    <pivotField numFmtId="22"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
        <item x="14"/>
        <item x="13"/>
        <item x="11"/>
        <item x="16"/>
        <item x="0"/>
        <item x="7"/>
        <item x="15"/>
        <item x="4"/>
        <item x="3"/>
        <item x="8"/>
        <item x="6"/>
        <item x="9"/>
        <item x="10"/>
        <item x="5"/>
        <item x="2"/>
        <item x="1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items count="3">
        <item x="1"/>
        <item x="0"/>
        <item t="default"/>
      </items>
    </pivotField>
    <pivotField showAll="0"/>
    <pivotField showAll="0"/>
  </pivotFields>
  <rowFields count="1">
    <field x="31"/>
  </rowFields>
  <rowItems count="18">
    <i>
      <x/>
    </i>
    <i>
      <x v="1"/>
    </i>
    <i>
      <x v="2"/>
    </i>
    <i>
      <x v="3"/>
    </i>
    <i>
      <x v="4"/>
    </i>
    <i>
      <x v="5"/>
    </i>
    <i>
      <x v="6"/>
    </i>
    <i>
      <x v="7"/>
    </i>
    <i>
      <x v="8"/>
    </i>
    <i>
      <x v="9"/>
    </i>
    <i>
      <x v="10"/>
    </i>
    <i>
      <x v="11"/>
    </i>
    <i>
      <x v="12"/>
    </i>
    <i>
      <x v="13"/>
    </i>
    <i>
      <x v="14"/>
    </i>
    <i>
      <x v="15"/>
    </i>
    <i>
      <x v="16"/>
    </i>
    <i t="grand">
      <x/>
    </i>
  </rowItems>
  <colItems count="1">
    <i/>
  </colItems>
  <dataFields count="1">
    <dataField name="Repository Count" fld="0" subtotal="count" baseField="31" baseItem="0"/>
  </dataFields>
  <chartFormats count="2">
    <chartFormat chart="3"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83F14-20CD-4942-9C25-6E807CE8CECA}" name="PivotActivity"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Activity Status">
  <location ref="D14:E18" firstHeaderRow="1" firstDataRow="1" firstDataCol="1"/>
  <pivotFields count="43">
    <pivotField dataField="1" showAll="0"/>
    <pivotField showAll="0"/>
    <pivotField showAll="0"/>
    <pivotField showAll="0"/>
    <pivotField showAll="0"/>
    <pivotField showAll="0"/>
    <pivotField showAll="0"/>
    <pivotField showAll="0">
      <items count="15">
        <item x="6"/>
        <item x="7"/>
        <item x="1"/>
        <item x="8"/>
        <item x="13"/>
        <item x="4"/>
        <item x="3"/>
        <item x="2"/>
        <item x="5"/>
        <item x="0"/>
        <item x="11"/>
        <item x="10"/>
        <item x="12"/>
        <item x="9"/>
        <item t="default"/>
      </items>
    </pivotField>
    <pivotField numFmtId="22"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3">
        <item x="1"/>
        <item x="0"/>
        <item t="default"/>
      </items>
    </pivotField>
    <pivotField showAll="0"/>
    <pivotField showAll="0"/>
  </pivotFields>
  <rowFields count="1">
    <field x="37"/>
  </rowFields>
  <rowItems count="4">
    <i>
      <x/>
    </i>
    <i>
      <x v="1"/>
    </i>
    <i>
      <x v="2"/>
    </i>
    <i t="grand">
      <x/>
    </i>
  </rowItems>
  <colItems count="1">
    <i/>
  </colItems>
  <dataFields count="1">
    <dataField name="Repository Count" fld="0" subtotal="count" baseField="35"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7" count="1" selected="0">
            <x v="0"/>
          </reference>
        </references>
      </pivotArea>
    </chartFormat>
    <chartFormat chart="3" format="7">
      <pivotArea type="data" outline="0" fieldPosition="0">
        <references count="2">
          <reference field="4294967294" count="1" selected="0">
            <x v="0"/>
          </reference>
          <reference field="37" count="1" selected="0">
            <x v="1"/>
          </reference>
        </references>
      </pivotArea>
    </chartFormat>
    <chartFormat chart="3" format="8">
      <pivotArea type="data" outline="0" fieldPosition="0">
        <references count="2">
          <reference field="4294967294" count="1" selected="0">
            <x v="0"/>
          </reference>
          <reference field="37" count="1" selected="0">
            <x v="2"/>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37" count="1" selected="0">
            <x v="0"/>
          </reference>
        </references>
      </pivotArea>
    </chartFormat>
    <chartFormat chart="12" format="3">
      <pivotArea type="data" outline="0" fieldPosition="0">
        <references count="2">
          <reference field="4294967294" count="1" selected="0">
            <x v="0"/>
          </reference>
          <reference field="37" count="1" selected="0">
            <x v="1"/>
          </reference>
        </references>
      </pivotArea>
    </chartFormat>
    <chartFormat chart="12" format="4">
      <pivotArea type="data" outline="0" fieldPosition="0">
        <references count="2">
          <reference field="4294967294" count="1" selected="0">
            <x v="0"/>
          </reference>
          <reference field="3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DEB404-7C57-4C33-85C1-680601527CBD}" name="PivotLicense"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icence Available">
  <location ref="D8:E11" firstHeaderRow="1" firstDataRow="1" firstDataCol="1"/>
  <pivotFields count="43">
    <pivotField dataField="1" showAll="0"/>
    <pivotField showAll="0"/>
    <pivotField showAll="0"/>
    <pivotField showAll="0"/>
    <pivotField showAll="0"/>
    <pivotField showAll="0"/>
    <pivotField showAll="0"/>
    <pivotField showAll="0">
      <items count="15">
        <item x="6"/>
        <item x="7"/>
        <item x="1"/>
        <item x="8"/>
        <item x="13"/>
        <item x="4"/>
        <item x="3"/>
        <item x="2"/>
        <item x="5"/>
        <item x="0"/>
        <item x="11"/>
        <item x="10"/>
        <item x="12"/>
        <item x="9"/>
        <item t="default"/>
      </items>
    </pivotField>
    <pivotField numFmtId="22"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3">
        <item x="1"/>
        <item x="0"/>
        <item t="default"/>
      </items>
    </pivotField>
    <pivotField showAll="0"/>
    <pivotField showAll="0"/>
  </pivotFields>
  <rowFields count="1">
    <field x="40"/>
  </rowFields>
  <rowItems count="3">
    <i>
      <x/>
    </i>
    <i>
      <x v="1"/>
    </i>
    <i t="grand">
      <x/>
    </i>
  </rowItems>
  <colItems count="1">
    <i/>
  </colItems>
  <dataFields count="1">
    <dataField name="Repository Count" fld="0" subtotal="count" baseField="3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316EA-D08F-4486-A2C9-C2596361FCF2}" name="PivotKPI"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G4" firstHeaderRow="0" firstDataRow="1" firstDataCol="0"/>
  <pivotFields count="43">
    <pivotField dataField="1" showAll="0"/>
    <pivotField showAll="0"/>
    <pivotField showAll="0"/>
    <pivotField showAll="0"/>
    <pivotField showAll="0"/>
    <pivotField showAll="0"/>
    <pivotField showAll="0"/>
    <pivotField showAll="0">
      <items count="15">
        <item x="6"/>
        <item x="7"/>
        <item x="1"/>
        <item x="8"/>
        <item x="13"/>
        <item x="4"/>
        <item x="3"/>
        <item x="2"/>
        <item x="5"/>
        <item x="0"/>
        <item x="11"/>
        <item x="10"/>
        <item x="12"/>
        <item x="9"/>
        <item t="default"/>
      </items>
    </pivotField>
    <pivotField numFmtId="22" showAll="0"/>
    <pivotField numFmtId="22" showAll="0"/>
    <pivotField numFmtId="22"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3">
        <item x="1"/>
        <item x="0"/>
        <item t="default"/>
      </items>
    </pivotField>
    <pivotField showAll="0"/>
    <pivotField showAll="0"/>
  </pivotFields>
  <rowItems count="1">
    <i/>
  </rowItems>
  <colFields count="1">
    <field x="-2"/>
  </colFields>
  <colItems count="4">
    <i>
      <x/>
    </i>
    <i i="1">
      <x v="1"/>
    </i>
    <i i="2">
      <x v="2"/>
    </i>
    <i i="3">
      <x v="3"/>
    </i>
  </colItems>
  <dataFields count="4">
    <dataField name="Total Repositories" fld="0" subtotal="count" baseField="0" baseItem="1"/>
    <dataField name="Total Stars" fld="12" baseField="0" baseItem="1" numFmtId="164"/>
    <dataField name="Total Forks" fld="14" baseField="0" baseItem="2" numFmtId="164"/>
    <dataField name="Average Stars" fld="12" subtotal="average" baseField="0" baseItem="3" numFmtId="43"/>
  </dataFields>
  <formats count="6">
    <format dxfId="12">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A7CB4-7DC2-417F-85FD-8DDA38A7CE5D}" name="PivotLanguage"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gramming Language">
  <location ref="A3:B18" firstHeaderRow="1" firstDataRow="1" firstDataCol="1"/>
  <pivotFields count="43">
    <pivotField dataField="1" showAll="0"/>
    <pivotField showAll="0"/>
    <pivotField showAll="0"/>
    <pivotField showAll="0"/>
    <pivotField showAll="0"/>
    <pivotField showAll="0"/>
    <pivotField showAll="0"/>
    <pivotField axis="axisRow" showAll="0" sortType="descending">
      <items count="15">
        <item x="6"/>
        <item x="7"/>
        <item x="1"/>
        <item x="8"/>
        <item x="13"/>
        <item x="4"/>
        <item x="3"/>
        <item x="2"/>
        <item x="5"/>
        <item x="0"/>
        <item x="11"/>
        <item x="10"/>
        <item x="12"/>
        <item x="9"/>
        <item t="default"/>
      </items>
      <autoSortScope>
        <pivotArea dataOnly="0" outline="0" fieldPosition="0">
          <references count="1">
            <reference field="4294967294" count="1" selected="0">
              <x v="0"/>
            </reference>
          </references>
        </pivotArea>
      </autoSortScope>
    </pivotField>
    <pivotField numFmtId="22"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3">
        <item x="1"/>
        <item x="0"/>
        <item t="default"/>
      </items>
    </pivotField>
    <pivotField showAll="0"/>
    <pivotField showAll="0"/>
  </pivotFields>
  <rowFields count="1">
    <field x="7"/>
  </rowFields>
  <rowItems count="15">
    <i>
      <x v="9"/>
    </i>
    <i>
      <x v="13"/>
    </i>
    <i>
      <x v="7"/>
    </i>
    <i>
      <x v="8"/>
    </i>
    <i>
      <x v="3"/>
    </i>
    <i>
      <x v="1"/>
    </i>
    <i>
      <x v="5"/>
    </i>
    <i>
      <x v="6"/>
    </i>
    <i>
      <x v="11"/>
    </i>
    <i>
      <x v="4"/>
    </i>
    <i>
      <x v="12"/>
    </i>
    <i>
      <x/>
    </i>
    <i>
      <x v="2"/>
    </i>
    <i>
      <x v="10"/>
    </i>
    <i t="grand">
      <x/>
    </i>
  </rowItems>
  <colItems count="1">
    <i/>
  </colItems>
  <dataFields count="1">
    <dataField name="Repository Count" fld="0" subtotal="count" baseField="7" baseItem="0"/>
  </dataField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8D8A44-AAA0-488C-8C10-804AA0B203E8}" name="PivotTopRepositories"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pository">
  <location ref="A22:B33" firstHeaderRow="1" firstDataRow="1" firstDataCol="1"/>
  <pivotFields count="43">
    <pivotField showAll="0"/>
    <pivotField showAll="0"/>
    <pivotField axis="axisRow" showAll="0" measureFilter="1" sortType="descending">
      <items count="101">
        <item x="25"/>
        <item x="55"/>
        <item x="62"/>
        <item x="59"/>
        <item x="88"/>
        <item x="64"/>
        <item x="91"/>
        <item x="95"/>
        <item x="98"/>
        <item x="22"/>
        <item x="97"/>
        <item x="5"/>
        <item x="24"/>
        <item x="49"/>
        <item x="15"/>
        <item x="84"/>
        <item x="33"/>
        <item x="1"/>
        <item x="2"/>
        <item x="43"/>
        <item x="96"/>
        <item x="54"/>
        <item x="69"/>
        <item x="73"/>
        <item x="65"/>
        <item x="83"/>
        <item x="36"/>
        <item x="61"/>
        <item x="12"/>
        <item x="52"/>
        <item x="38"/>
        <item x="70"/>
        <item x="3"/>
        <item x="39"/>
        <item x="42"/>
        <item x="23"/>
        <item x="47"/>
        <item x="26"/>
        <item x="74"/>
        <item x="56"/>
        <item x="82"/>
        <item x="57"/>
        <item x="67"/>
        <item x="86"/>
        <item x="40"/>
        <item x="9"/>
        <item x="4"/>
        <item x="45"/>
        <item x="92"/>
        <item x="14"/>
        <item x="34"/>
        <item x="94"/>
        <item x="66"/>
        <item x="6"/>
        <item x="51"/>
        <item x="19"/>
        <item x="71"/>
        <item x="99"/>
        <item x="89"/>
        <item x="63"/>
        <item x="76"/>
        <item x="28"/>
        <item x="46"/>
        <item x="81"/>
        <item x="20"/>
        <item x="50"/>
        <item x="29"/>
        <item x="7"/>
        <item x="27"/>
        <item x="85"/>
        <item x="10"/>
        <item x="30"/>
        <item x="77"/>
        <item x="93"/>
        <item x="80"/>
        <item x="35"/>
        <item x="13"/>
        <item x="21"/>
        <item x="44"/>
        <item x="60"/>
        <item x="37"/>
        <item x="31"/>
        <item x="72"/>
        <item x="58"/>
        <item x="53"/>
        <item x="0"/>
        <item x="87"/>
        <item x="75"/>
        <item x="68"/>
        <item x="11"/>
        <item x="32"/>
        <item x="18"/>
        <item x="48"/>
        <item x="78"/>
        <item x="16"/>
        <item x="79"/>
        <item x="17"/>
        <item x="41"/>
        <item x="9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6"/>
        <item x="7"/>
        <item x="1"/>
        <item x="8"/>
        <item x="13"/>
        <item x="4"/>
        <item x="3"/>
        <item x="2"/>
        <item x="5"/>
        <item x="0"/>
        <item x="11"/>
        <item x="10"/>
        <item x="12"/>
        <item x="9"/>
        <item t="default"/>
      </items>
    </pivotField>
    <pivotField numFmtId="22" showAll="0"/>
    <pivotField numFmtId="22" showAll="0"/>
    <pivotField numFmtId="22"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3">
        <item x="1"/>
        <item x="0"/>
        <item t="default"/>
      </items>
    </pivotField>
    <pivotField showAll="0"/>
    <pivotField showAll="0"/>
  </pivotFields>
  <rowFields count="1">
    <field x="2"/>
  </rowFields>
  <rowItems count="11">
    <i>
      <x v="85"/>
    </i>
    <i>
      <x v="17"/>
    </i>
    <i>
      <x v="18"/>
    </i>
    <i>
      <x v="32"/>
    </i>
    <i>
      <x v="46"/>
    </i>
    <i>
      <x v="11"/>
    </i>
    <i>
      <x v="53"/>
    </i>
    <i>
      <x v="67"/>
    </i>
    <i>
      <x v="99"/>
    </i>
    <i>
      <x v="45"/>
    </i>
    <i t="grand">
      <x/>
    </i>
  </rowItems>
  <colItems count="1">
    <i/>
  </colItems>
  <dataFields count="1">
    <dataField name="Total Stars" fld="12" baseField="2" baseItem="85"/>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A2B60E-C164-4347-A829-018B7200063F}" autoFormatId="16" applyNumberFormats="0" applyBorderFormats="0" applyFontFormats="0" applyPatternFormats="0" applyAlignmentFormats="0" applyWidthHeightFormats="0">
  <queryTableRefresh nextId="48">
    <queryTableFields count="43">
      <queryTableField id="1" name="repository_id" tableColumnId="1"/>
      <queryTableField id="2" name="repository_name" tableColumnId="2"/>
      <queryTableField id="3" name="full_name" tableColumnId="3"/>
      <queryTableField id="4" name="owner_username" tableColumnId="4"/>
      <queryTableField id="5" name="owner_type" tableColumnId="5"/>
      <queryTableField id="6" name="repository_url" tableColumnId="6"/>
      <queryTableField id="7" name="description" tableColumnId="7"/>
      <queryTableField id="8" name="primary_language" tableColumnId="8"/>
      <queryTableField id="9" name="created_at" tableColumnId="9"/>
      <queryTableField id="10" name="updated_at" tableColumnId="10"/>
      <queryTableField id="11" name="pushed_at" tableColumnId="11"/>
      <queryTableField id="12" name="size_kb" tableColumnId="12"/>
      <queryTableField id="13" name="stars_count" tableColumnId="13"/>
      <queryTableField id="14" name="watchers_count" tableColumnId="14"/>
      <queryTableField id="15" name="forks_count" tableColumnId="15"/>
      <queryTableField id="16" name="open_issues_count" tableColumnId="16"/>
      <queryTableField id="17" name="default_branch" tableColumnId="17"/>
      <queryTableField id="18" name="topics" tableColumnId="18"/>
      <queryTableField id="19" name="license_name" tableColumnId="19"/>
      <queryTableField id="20" name="homepage" tableColumnId="20"/>
      <queryTableField id="21" name="has_issues" tableColumnId="21"/>
      <queryTableField id="22" name="has_projects" tableColumnId="22"/>
      <queryTableField id="23" name="has_wiki" tableColumnId="23"/>
      <queryTableField id="24" name="has_pages" tableColumnId="24"/>
      <queryTableField id="25" name="is_fork" tableColumnId="25"/>
      <queryTableField id="26" name="is_archived" tableColumnId="26"/>
      <queryTableField id="27" name="is_disabled" tableColumnId="27"/>
      <queryTableField id="28" name="visibility" tableColumnId="28"/>
      <queryTableField id="29" name="repository_age_days" tableColumnId="29"/>
      <queryTableField id="30" name="days_since_update" tableColumnId="30"/>
      <queryTableField id="31" name="days_since_last_push" tableColumnId="31"/>
      <queryTableField id="32" name="created_year" tableColumnId="32"/>
      <queryTableField id="33" name="created_month" tableColumnId="33"/>
      <queryTableField id="34" name="updated_year" tableColumnId="34"/>
      <queryTableField id="35" name="size_mb" tableColumnId="35"/>
      <queryTableField id="37" name="repository_type" tableColumnId="37"/>
      <queryTableField id="38" name="has_description" tableColumnId="38"/>
      <queryTableField id="36" name="activity_status" tableColumnId="36"/>
      <queryTableField id="40" name="popularity_score" tableColumnId="40"/>
      <queryTableField id="43" name="analysis_as_of_date" tableColumnId="43"/>
      <queryTableField id="39" name="has_license" tableColumnId="39"/>
      <queryTableField id="41" name="fork_to_star_ratio" tableColumnId="41"/>
      <queryTableField id="42" name="issues_per_1000_stars" tableColumnId="4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D8D4845-1769-4688-BCCD-FF07C26914FF}" autoFormatId="16" applyNumberFormats="0" applyBorderFormats="0" applyFontFormats="0" applyPatternFormats="0" applyAlignmentFormats="0" applyWidthHeightFormats="0">
  <queryTableRefresh nextId="33">
    <queryTableFields count="31">
      <queryTableField id="1" name="repository_id" tableColumnId="1"/>
      <queryTableField id="2" name="repository_name" tableColumnId="2"/>
      <queryTableField id="3" name="full_name" tableColumnId="3"/>
      <queryTableField id="4" name="repository_url" tableColumnId="4"/>
      <queryTableField id="5" name="description" tableColumnId="5"/>
      <queryTableField id="6" name="primary_language" tableColumnId="6"/>
      <queryTableField id="7" name="created_at" tableColumnId="7"/>
      <queryTableField id="8" name="updated_at" tableColumnId="8"/>
      <queryTableField id="9" name="pushed_at" tableColumnId="9"/>
      <queryTableField id="10" name="size_kb" tableColumnId="10"/>
      <queryTableField id="11" name="stars_count" tableColumnId="11"/>
      <queryTableField id="12" name="watchers_count" tableColumnId="12"/>
      <queryTableField id="13" name="forks_count" tableColumnId="13"/>
      <queryTableField id="14" name="open_issues_count" tableColumnId="14"/>
      <queryTableField id="15" name="default_branch" tableColumnId="15"/>
      <queryTableField id="16" name="is_fork" tableColumnId="16"/>
      <queryTableField id="17" name="is_archived" tableColumnId="17"/>
      <queryTableField id="18" name="is_disabled" tableColumnId="18"/>
      <queryTableField id="19" name="visibility" tableColumnId="19"/>
      <queryTableField id="20" name="repository_age_days" tableColumnId="20"/>
      <queryTableField id="21" name="days_since_update" tableColumnId="21"/>
      <queryTableField id="30" name="days_since_last_push" tableColumnId="30"/>
      <queryTableField id="22" name="created_year" tableColumnId="22"/>
      <queryTableField id="23" name="created_month" tableColumnId="23"/>
      <queryTableField id="24" name="updated_year" tableColumnId="24"/>
      <queryTableField id="25" name="size_mb" tableColumnId="25"/>
      <queryTableField id="26" name="repository_type" tableColumnId="26"/>
      <queryTableField id="27" name="has_description" tableColumnId="27"/>
      <queryTableField id="28" name="activity_status" tableColumnId="28"/>
      <queryTableField id="29" name="popularity_score" tableColumnId="29"/>
      <queryTableField id="31" name="analysis_as_of_date"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license" xr10:uid="{C5BB9318-FD22-4E92-9807-FDE8C0BA1321}" sourceName="has_license">
  <pivotTables>
    <pivotTable tabId="5" name="PivotLanguage"/>
    <pivotTable tabId="5" name="PivotTopRepositories"/>
    <pivotTable tabId="5" name="PivotKPI"/>
    <pivotTable tabId="5" name="PivotLicense"/>
    <pivotTable tabId="5" name="PivotActivity"/>
    <pivotTable tabId="5" name="PivotCreationTrend"/>
  </pivotTables>
  <data>
    <tabular pivotCacheId="6353399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status" xr10:uid="{C4C834FD-0024-4CE6-9CB9-05122B97B7FC}" sourceName="activity_status">
  <pivotTables>
    <pivotTable tabId="5" name="PivotLanguage"/>
    <pivotTable tabId="5" name="PivotTopRepositories"/>
    <pivotTable tabId="5" name="PivotKPI"/>
    <pivotTable tabId="5" name="PivotLicense"/>
    <pivotTable tabId="5" name="PivotActivity"/>
    <pivotTable tabId="5" name="PivotCreationTrend"/>
  </pivotTables>
  <data>
    <tabular pivotCacheId="6353399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language" xr10:uid="{A0116BC2-D644-44EB-BBA2-6BB7D2F05BD2}" sourceName="primary_language">
  <pivotTables>
    <pivotTable tabId="5" name="PivotLanguage"/>
    <pivotTable tabId="5" name="PivotTopRepositories"/>
    <pivotTable tabId="5" name="PivotKPI"/>
    <pivotTable tabId="5" name="PivotLicense"/>
    <pivotTable tabId="5" name="PivotActivity"/>
    <pivotTable tabId="5" name="PivotCreationTrend"/>
  </pivotTables>
  <data>
    <tabular pivotCacheId="635339916">
      <items count="14">
        <i x="6" s="1"/>
        <i x="7" s="1"/>
        <i x="1" s="1"/>
        <i x="8" s="1"/>
        <i x="13" s="1"/>
        <i x="4" s="1"/>
        <i x="3" s="1"/>
        <i x="2" s="1"/>
        <i x="5" s="1"/>
        <i x="0" s="1"/>
        <i x="11" s="1"/>
        <i x="10" s="1"/>
        <i x="1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cense Availability" xr10:uid="{FA230AFE-7C67-4E92-9BD2-7B982EE1F181}" cache="Slicer_has_license" caption="License Availability" style="SlicerStyleOther2" rowHeight="234950"/>
  <slicer name="activity_status" xr10:uid="{0C07F2B1-8BCC-425E-9A35-4D776B89A4A4}" cache="Slicer_activity_status" caption="Activity Status" style="SlicerStyleOther2" rowHeight="234950"/>
  <slicer name="Languages" xr10:uid="{A090F230-BA26-43F6-B39A-B011B6405DDD}" cache="Slicer_primary_language" caption="Programming Language"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C6EE24-B9C7-4D12-8CBC-8425B5F8A619}" name="TopRepositories" displayName="TopRepositories" ref="A1:AQ101" tableType="queryTable" totalsRowShown="0">
  <autoFilter ref="A1:AQ101" xr:uid="{9EC6EE24-B9C7-4D12-8CBC-8425B5F8A619}"/>
  <tableColumns count="43">
    <tableColumn id="1" xr3:uid="{6873CF25-5F9E-4240-9748-B84BA09A21CA}" uniqueName="1" name="repository_id" queryTableFieldId="1"/>
    <tableColumn id="2" xr3:uid="{71EB088E-9324-4935-9D62-FA879B9CEF98}" uniqueName="2" name="repository_name" queryTableFieldId="2" dataDxfId="41"/>
    <tableColumn id="3" xr3:uid="{298A156E-6067-44AD-834F-C12EE886EB78}" uniqueName="3" name="full_name" queryTableFieldId="3" dataDxfId="40"/>
    <tableColumn id="4" xr3:uid="{87CA1BFB-00FF-413F-BDB9-D7BB9B17FBDA}" uniqueName="4" name="owner_username" queryTableFieldId="4" dataDxfId="39"/>
    <tableColumn id="5" xr3:uid="{3E03BC0E-DC8B-41CF-B975-C30D12E89AC8}" uniqueName="5" name="owner_type" queryTableFieldId="5" dataDxfId="38"/>
    <tableColumn id="6" xr3:uid="{CAC068E0-1C29-4904-9368-702081C8FF9B}" uniqueName="6" name="repository_url" queryTableFieldId="6" dataDxfId="37"/>
    <tableColumn id="7" xr3:uid="{AB708843-57BD-4497-AC6B-960AAC9CE243}" uniqueName="7" name="description" queryTableFieldId="7" dataDxfId="36"/>
    <tableColumn id="8" xr3:uid="{45303C26-6BE4-4758-B576-8FC725EDBF70}" uniqueName="8" name="primary_language" queryTableFieldId="8" dataDxfId="35"/>
    <tableColumn id="9" xr3:uid="{BA926799-85F6-4B82-B033-C8939D0BE490}" uniqueName="9" name="created_at" queryTableFieldId="9" dataDxfId="9"/>
    <tableColumn id="10" xr3:uid="{16CCA5D7-F3DE-48DC-AD08-5755ABCA977E}" uniqueName="10" name="updated_at" queryTableFieldId="10" dataDxfId="8"/>
    <tableColumn id="11" xr3:uid="{700EB147-DCE5-475F-9C81-66067BE95B56}" uniqueName="11" name="pushed_at" queryTableFieldId="11" dataDxfId="7"/>
    <tableColumn id="12" xr3:uid="{0DD98980-E530-45B3-9CD7-6606E3B52613}" uniqueName="12" name="size_kb" queryTableFieldId="12"/>
    <tableColumn id="13" xr3:uid="{1B60E2C3-807F-4FD3-9962-E74AE199EEEE}" uniqueName="13" name="stars_count" queryTableFieldId="13"/>
    <tableColumn id="14" xr3:uid="{32FF6377-1A8C-476B-B77D-4B12AF4F5D24}" uniqueName="14" name="watchers_count" queryTableFieldId="14"/>
    <tableColumn id="15" xr3:uid="{4611205B-3965-48A0-9FB6-ECA7CC6EB0F0}" uniqueName="15" name="forks_count" queryTableFieldId="15"/>
    <tableColumn id="16" xr3:uid="{92E1CEBE-1D16-41DF-9DA4-2A146203AC99}" uniqueName="16" name="open_issues_count" queryTableFieldId="16"/>
    <tableColumn id="17" xr3:uid="{2D7F3AC1-7D36-4D33-B172-F7B4CA134CDB}" uniqueName="17" name="default_branch" queryTableFieldId="17" dataDxfId="34"/>
    <tableColumn id="18" xr3:uid="{7F4B95A3-DAA3-4A73-8DC3-F1B4F2DE541D}" uniqueName="18" name="topics" queryTableFieldId="18" dataDxfId="33"/>
    <tableColumn id="19" xr3:uid="{3336B158-F99D-42C9-A35E-BBEE51FE7D59}" uniqueName="19" name="license_name" queryTableFieldId="19" dataDxfId="32"/>
    <tableColumn id="20" xr3:uid="{5CC34378-1CE4-4CEE-8EE2-A09D2325DE1F}" uniqueName="20" name="homepage" queryTableFieldId="20" dataDxfId="31"/>
    <tableColumn id="21" xr3:uid="{F1F53C08-D47F-45B0-A224-BCBC6EA853FC}" uniqueName="21" name="has_issues" queryTableFieldId="21"/>
    <tableColumn id="22" xr3:uid="{4F61AA61-E502-4D4E-978D-F8E8211EFF4C}" uniqueName="22" name="has_projects" queryTableFieldId="22"/>
    <tableColumn id="23" xr3:uid="{B9DC742E-AF2C-493F-A196-96B625976148}" uniqueName="23" name="has_wiki" queryTableFieldId="23"/>
    <tableColumn id="24" xr3:uid="{19FBE29D-4919-466A-97BF-62BC4250EFCB}" uniqueName="24" name="has_pages" queryTableFieldId="24"/>
    <tableColumn id="25" xr3:uid="{36123A46-66BE-4201-9FE0-CBCBACA280BC}" uniqueName="25" name="is_fork" queryTableFieldId="25"/>
    <tableColumn id="26" xr3:uid="{F616A312-9D48-4DBE-977C-1ACF3637890B}" uniqueName="26" name="is_archived" queryTableFieldId="26"/>
    <tableColumn id="27" xr3:uid="{564BDF24-5ED6-4D30-8F3E-6F57ABC7EF8C}" uniqueName="27" name="is_disabled" queryTableFieldId="27"/>
    <tableColumn id="28" xr3:uid="{2B28C754-4EBC-4C2B-AC50-C9DE35EE53E3}" uniqueName="28" name="visibility" queryTableFieldId="28" dataDxfId="30"/>
    <tableColumn id="29" xr3:uid="{9BD78CBE-0143-40BE-8A36-DC8BA2596C5A}" uniqueName="29" name="repository_age_days" queryTableFieldId="29"/>
    <tableColumn id="30" xr3:uid="{20468BF8-EA76-4992-AC56-6C608A5CC2B2}" uniqueName="30" name="days_since_update" queryTableFieldId="30"/>
    <tableColumn id="31" xr3:uid="{C0CBAF68-3201-4D5F-8F99-565275D67D95}" uniqueName="31" name="days_since_last_push" queryTableFieldId="31"/>
    <tableColumn id="32" xr3:uid="{EC6729C9-7059-44D7-8A5E-F375C9AB9E13}" uniqueName="32" name="created_year" queryTableFieldId="32"/>
    <tableColumn id="33" xr3:uid="{5FCF46B4-CDCE-4BDB-91E0-BE1DD338131E}" uniqueName="33" name="created_month" queryTableFieldId="33" dataDxfId="29"/>
    <tableColumn id="34" xr3:uid="{1CC57E85-C9A7-4900-A3D3-DE8A8BB35A13}" uniqueName="34" name="updated_year" queryTableFieldId="34"/>
    <tableColumn id="35" xr3:uid="{CA0636BB-D17E-4FA0-908D-FEEFC5E85922}" uniqueName="35" name="size_mb" queryTableFieldId="35"/>
    <tableColumn id="37" xr3:uid="{584D9EC6-7D20-46B1-B837-4AFBDBBF61BC}" uniqueName="37" name="repository_type" queryTableFieldId="37" dataDxfId="11"/>
    <tableColumn id="38" xr3:uid="{71FF61F1-D1FE-4EBC-8910-0DA6CAB2F087}" uniqueName="38" name="has_description" queryTableFieldId="38" dataDxfId="10"/>
    <tableColumn id="36" xr3:uid="{5AC35B14-045F-4A12-A159-B934ADB10FB6}" uniqueName="36" name="activity_status" queryTableFieldId="36" dataDxfId="28"/>
    <tableColumn id="40" xr3:uid="{9BB3853C-29A1-4DE2-B7C7-23FE3B1022C9}" uniqueName="40" name="popularity_score" queryTableFieldId="40"/>
    <tableColumn id="43" xr3:uid="{03CAFCAF-EF4C-4DED-8273-ED8805DA7866}" uniqueName="43" name="analysis_as_of_date" queryTableFieldId="43" dataDxfId="6"/>
    <tableColumn id="39" xr3:uid="{E105CC4C-9E76-4820-9A79-41FB6BF74385}" uniqueName="39" name="has_license" queryTableFieldId="39" dataDxfId="27"/>
    <tableColumn id="41" xr3:uid="{825F3689-0994-4F94-8A54-B683EFED8115}" uniqueName="41" name="fork_to_star_ratio" queryTableFieldId="41"/>
    <tableColumn id="42" xr3:uid="{180C5655-C216-4B59-BA00-5FBE9AEF2D26}" uniqueName="42" name="issues_per_1000_stars" queryTableField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9F0DE-70D8-4C23-A816-75A1C4F95EAD}" name="MyRepositories" displayName="MyRepositories" ref="A1:AE16" tableType="queryTable" totalsRowShown="0">
  <autoFilter ref="A1:AE16" xr:uid="{3EA9F0DE-70D8-4C23-A816-75A1C4F95EAD}"/>
  <tableColumns count="31">
    <tableColumn id="1" xr3:uid="{09B722B5-0625-4BFD-8337-65988E7C9116}" uniqueName="1" name="repository_id" queryTableFieldId="1"/>
    <tableColumn id="2" xr3:uid="{34D76031-2E1B-4AE7-A52D-8E23518C47DB}" uniqueName="2" name="repository_name" queryTableFieldId="2" dataDxfId="26"/>
    <tableColumn id="3" xr3:uid="{6A01232F-64B7-4500-8AED-FC27EAD34191}" uniqueName="3" name="full_name" queryTableFieldId="3" dataDxfId="25"/>
    <tableColumn id="4" xr3:uid="{5EF77EB5-DF36-4131-9F87-EF43FEB12CE3}" uniqueName="4" name="repository_url" queryTableFieldId="4" dataDxfId="24"/>
    <tableColumn id="5" xr3:uid="{6689711D-CA61-475D-89E2-554AD6F6C562}" uniqueName="5" name="description" queryTableFieldId="5" dataDxfId="23"/>
    <tableColumn id="6" xr3:uid="{10879963-37F5-4558-A697-BEA276145E18}" uniqueName="6" name="primary_language" queryTableFieldId="6" dataDxfId="22"/>
    <tableColumn id="7" xr3:uid="{28F90AF6-12F3-4380-ABE7-3ED2857F9C32}" uniqueName="7" name="created_at" queryTableFieldId="7" dataDxfId="5"/>
    <tableColumn id="8" xr3:uid="{0FBB0A9E-009C-4EBE-A1F4-FE442AA32F9F}" uniqueName="8" name="updated_at" queryTableFieldId="8" dataDxfId="4"/>
    <tableColumn id="9" xr3:uid="{41343C30-8460-4438-AF53-94298D31D797}" uniqueName="9" name="pushed_at" queryTableFieldId="9" dataDxfId="3"/>
    <tableColumn id="10" xr3:uid="{2D8F8836-98AB-45EE-9E57-1DF06F7C67B6}" uniqueName="10" name="size_kb" queryTableFieldId="10"/>
    <tableColumn id="11" xr3:uid="{5CB96E85-E6AD-4882-929A-0B114F185144}" uniqueName="11" name="stars_count" queryTableFieldId="11"/>
    <tableColumn id="12" xr3:uid="{B8799379-A057-48B3-8DF8-8034C68DDF91}" uniqueName="12" name="watchers_count" queryTableFieldId="12"/>
    <tableColumn id="13" xr3:uid="{1C344D40-DEC9-44E3-8AD1-164B868E5102}" uniqueName="13" name="forks_count" queryTableFieldId="13"/>
    <tableColumn id="14" xr3:uid="{AC31CAA7-E770-4C9C-A022-9409F4487B27}" uniqueName="14" name="open_issues_count" queryTableFieldId="14"/>
    <tableColumn id="15" xr3:uid="{3EF201A5-7BE9-46D9-87F8-F4B348C25A80}" uniqueName="15" name="default_branch" queryTableFieldId="15" dataDxfId="21"/>
    <tableColumn id="16" xr3:uid="{22576D3D-AB26-40BE-97D8-80D46A6B3190}" uniqueName="16" name="is_fork" queryTableFieldId="16"/>
    <tableColumn id="17" xr3:uid="{AEE9DEAE-E038-4BF4-B9C5-6FA490C43CFD}" uniqueName="17" name="is_archived" queryTableFieldId="17"/>
    <tableColumn id="18" xr3:uid="{136605DE-7EC3-40F6-97FC-E5E2B0704808}" uniqueName="18" name="is_disabled" queryTableFieldId="18"/>
    <tableColumn id="19" xr3:uid="{2CA931FA-487C-492E-9A5E-F30A1FBB0484}" uniqueName="19" name="visibility" queryTableFieldId="19" dataDxfId="20"/>
    <tableColumn id="20" xr3:uid="{87885AA1-D9B3-4B18-8DC9-544342712E27}" uniqueName="20" name="repository_age_days" queryTableFieldId="20"/>
    <tableColumn id="21" xr3:uid="{9E570D9E-E236-4089-9995-3C59D83EC0CE}" uniqueName="21" name="days_since_update" queryTableFieldId="21"/>
    <tableColumn id="30" xr3:uid="{A04EE002-5A8D-4559-B824-531E8D480857}" uniqueName="30" name="days_since_last_push" queryTableFieldId="30"/>
    <tableColumn id="22" xr3:uid="{C9E82262-5DE2-4487-8AB7-13EE57E05A8D}" uniqueName="22" name="created_year" queryTableFieldId="22"/>
    <tableColumn id="23" xr3:uid="{BCC3A850-81A4-49EC-B24B-957FD1DD5E1A}" uniqueName="23" name="created_month" queryTableFieldId="23" dataDxfId="19"/>
    <tableColumn id="24" xr3:uid="{5AC32D48-DE8F-47CA-8C98-A92B2A427AEA}" uniqueName="24" name="updated_year" queryTableFieldId="24"/>
    <tableColumn id="25" xr3:uid="{748361FE-B1E4-4ABE-95E8-0441AE8AEC1D}" uniqueName="25" name="size_mb" queryTableFieldId="25"/>
    <tableColumn id="26" xr3:uid="{06323A61-308D-4154-889A-03320600ED6D}" uniqueName="26" name="repository_type" queryTableFieldId="26" dataDxfId="18"/>
    <tableColumn id="27" xr3:uid="{EF687B4D-760E-46CC-8549-4E045DA01EA7}" uniqueName="27" name="has_description" queryTableFieldId="27" dataDxfId="17"/>
    <tableColumn id="28" xr3:uid="{B65575C8-AD8D-49B1-82CD-3DD527DED615}" uniqueName="28" name="activity_status" queryTableFieldId="28" dataDxfId="16"/>
    <tableColumn id="29" xr3:uid="{3934C083-D5BA-4010-BD4D-23E03984C91C}" uniqueName="29" name="popularity_score" queryTableFieldId="29"/>
    <tableColumn id="31" xr3:uid="{EA6741FF-3CF9-4079-AAA2-D5B723160E84}" uniqueName="31" name="analysis_as_of_date" queryTableFieldId="31"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42326-E19D-459B-9D39-28A235E2EA3B}">
  <dimension ref="A1:N10"/>
  <sheetViews>
    <sheetView showGridLines="0" tabSelected="1" topLeftCell="A8" zoomScale="87" zoomScaleNormal="87" workbookViewId="0">
      <selection activeCell="S21" sqref="S21"/>
    </sheetView>
  </sheetViews>
  <sheetFormatPr defaultRowHeight="14.4" x14ac:dyDescent="0.3"/>
  <sheetData>
    <row r="1" spans="1:14" ht="25.8" x14ac:dyDescent="0.5">
      <c r="A1" s="6" t="s">
        <v>824</v>
      </c>
      <c r="B1" s="7"/>
      <c r="C1" s="7"/>
      <c r="D1" s="7"/>
      <c r="E1" s="7"/>
      <c r="F1" s="7"/>
      <c r="G1" s="7"/>
      <c r="H1" s="7"/>
      <c r="I1" s="7"/>
      <c r="J1" s="7"/>
      <c r="K1" s="7"/>
      <c r="L1" s="7"/>
      <c r="M1" s="7"/>
      <c r="N1" s="7"/>
    </row>
    <row r="4" spans="1:14" x14ac:dyDescent="0.3">
      <c r="A4" s="8" t="s">
        <v>825</v>
      </c>
      <c r="B4" s="8"/>
      <c r="C4" s="8"/>
      <c r="D4" s="8" t="s">
        <v>819</v>
      </c>
      <c r="E4" s="8"/>
      <c r="F4" s="8"/>
      <c r="G4" s="8" t="s">
        <v>818</v>
      </c>
      <c r="H4" s="8"/>
      <c r="I4" s="8"/>
      <c r="J4" s="8" t="s">
        <v>826</v>
      </c>
      <c r="K4" s="8"/>
      <c r="L4" s="8"/>
    </row>
    <row r="5" spans="1:14" x14ac:dyDescent="0.3">
      <c r="A5" s="9">
        <f>'Pivot Analysis'!D4</f>
        <v>100</v>
      </c>
      <c r="B5" s="9"/>
      <c r="C5" s="9"/>
      <c r="D5" s="10">
        <f>'Pivot Analysis'!E4</f>
        <v>1162105</v>
      </c>
      <c r="E5" s="10"/>
      <c r="F5" s="10"/>
      <c r="G5" s="11">
        <f>'Pivot Analysis'!F4</f>
        <v>223515</v>
      </c>
      <c r="H5" s="11"/>
      <c r="I5" s="11"/>
      <c r="J5" s="13">
        <f>'Pivot Analysis'!G4</f>
        <v>11621.05</v>
      </c>
      <c r="K5" s="13"/>
      <c r="L5" s="13"/>
    </row>
    <row r="6" spans="1:14" x14ac:dyDescent="0.3">
      <c r="A6" s="9"/>
      <c r="B6" s="9"/>
      <c r="C6" s="9"/>
      <c r="D6" s="10"/>
      <c r="E6" s="10"/>
      <c r="F6" s="10"/>
      <c r="G6" s="11"/>
      <c r="H6" s="11"/>
      <c r="I6" s="11"/>
      <c r="J6" s="13"/>
      <c r="K6" s="13"/>
      <c r="L6" s="13"/>
    </row>
    <row r="8" spans="1:14" x14ac:dyDescent="0.3">
      <c r="A8" s="8" t="s">
        <v>827</v>
      </c>
      <c r="B8" s="8"/>
      <c r="C8" s="8"/>
      <c r="D8" s="8" t="s">
        <v>828</v>
      </c>
      <c r="E8" s="8"/>
      <c r="F8" s="8"/>
      <c r="G8" s="8" t="s">
        <v>829</v>
      </c>
      <c r="H8" s="8"/>
      <c r="I8" s="8"/>
      <c r="J8" s="8" t="s">
        <v>830</v>
      </c>
      <c r="K8" s="8"/>
      <c r="L8" s="8"/>
    </row>
    <row r="9" spans="1:14" x14ac:dyDescent="0.3">
      <c r="A9" s="9">
        <f>IFERROR(GETPIVOTDATA("repository_id",'Pivot Analysis'!$D$14,"activity_status","Active"),0)</f>
        <v>67</v>
      </c>
      <c r="B9" s="9"/>
      <c r="C9" s="9"/>
      <c r="D9" s="12">
        <f>IFERROR(A9/A5,0)</f>
        <v>0.67</v>
      </c>
      <c r="E9" s="12"/>
      <c r="F9" s="12"/>
      <c r="G9" s="12">
        <f>IFERROR(GETPIVOTDATA("repository_id",'Pivot Analysis'!$D$8,"has_license","Yes")/$A$5,0)</f>
        <v>0.89</v>
      </c>
      <c r="H9" s="12"/>
      <c r="I9" s="12"/>
      <c r="J9" s="9" t="str">
        <f>IF($A$5=0,"No matching repositories",'Pivot Analysis'!A23)</f>
        <v>apache/superset</v>
      </c>
      <c r="K9" s="9"/>
      <c r="L9" s="9"/>
    </row>
    <row r="10" spans="1:14" x14ac:dyDescent="0.3">
      <c r="A10" s="9"/>
      <c r="B10" s="9"/>
      <c r="C10" s="9"/>
      <c r="D10" s="12"/>
      <c r="E10" s="12"/>
      <c r="F10" s="12"/>
      <c r="G10" s="12"/>
      <c r="H10" s="12"/>
      <c r="I10" s="12"/>
      <c r="J10" s="9"/>
      <c r="K10" s="9"/>
      <c r="L10" s="9"/>
    </row>
  </sheetData>
  <mergeCells count="17">
    <mergeCell ref="J8:L8"/>
    <mergeCell ref="J9:L10"/>
    <mergeCell ref="D5:F6"/>
    <mergeCell ref="G5:I6"/>
    <mergeCell ref="A8:C8"/>
    <mergeCell ref="A9:C10"/>
    <mergeCell ref="D8:F8"/>
    <mergeCell ref="D9:F10"/>
    <mergeCell ref="G8:I8"/>
    <mergeCell ref="G9:I10"/>
    <mergeCell ref="J5:L6"/>
    <mergeCell ref="A5:C6"/>
    <mergeCell ref="A1:N1"/>
    <mergeCell ref="A4:C4"/>
    <mergeCell ref="D4:F4"/>
    <mergeCell ref="G4:I4"/>
    <mergeCell ref="J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74CA-3E05-4A19-8C06-8752CB1F1C10}">
  <dimension ref="A3:G40"/>
  <sheetViews>
    <sheetView zoomScale="101" workbookViewId="0">
      <selection activeCell="E4" sqref="E4"/>
    </sheetView>
  </sheetViews>
  <sheetFormatPr defaultRowHeight="14.4" x14ac:dyDescent="0.3"/>
  <cols>
    <col min="1" max="1" width="33.88671875" bestFit="1" customWidth="1"/>
    <col min="2" max="2" width="16.33203125" bestFit="1" customWidth="1"/>
    <col min="3" max="3" width="9.77734375" bestFit="1" customWidth="1"/>
    <col min="4" max="4" width="17" bestFit="1" customWidth="1"/>
    <col min="5" max="5" width="16.33203125" bestFit="1" customWidth="1"/>
    <col min="6" max="6" width="10.5546875" bestFit="1" customWidth="1"/>
    <col min="7" max="7" width="13.109375" bestFit="1" customWidth="1"/>
    <col min="10" max="10" width="16.5546875" bestFit="1" customWidth="1"/>
    <col min="11" max="11" width="20.6640625" bestFit="1" customWidth="1"/>
    <col min="13" max="13" width="17.6640625" bestFit="1" customWidth="1"/>
    <col min="14" max="14" width="15.6640625" bestFit="1" customWidth="1"/>
    <col min="16" max="16" width="16" bestFit="1" customWidth="1"/>
    <col min="17" max="17" width="9.77734375" bestFit="1" customWidth="1"/>
    <col min="18" max="18" width="10.109375" bestFit="1" customWidth="1"/>
    <col min="19" max="19" width="12.44140625" bestFit="1" customWidth="1"/>
  </cols>
  <sheetData>
    <row r="3" spans="1:7" x14ac:dyDescent="0.3">
      <c r="A3" s="2" t="s">
        <v>816</v>
      </c>
      <c r="B3" t="s">
        <v>817</v>
      </c>
      <c r="D3" t="s">
        <v>825</v>
      </c>
      <c r="E3" t="s">
        <v>819</v>
      </c>
      <c r="F3" t="s">
        <v>818</v>
      </c>
      <c r="G3" t="s">
        <v>826</v>
      </c>
    </row>
    <row r="4" spans="1:7" x14ac:dyDescent="0.3">
      <c r="A4" s="3" t="s">
        <v>33</v>
      </c>
      <c r="B4" s="14">
        <v>32</v>
      </c>
      <c r="D4" s="14">
        <v>100</v>
      </c>
      <c r="E4" s="15">
        <v>1162105</v>
      </c>
      <c r="F4" s="5">
        <v>223515</v>
      </c>
      <c r="G4" s="4">
        <v>11621.05</v>
      </c>
    </row>
    <row r="5" spans="1:7" x14ac:dyDescent="0.3">
      <c r="A5" s="3" t="s">
        <v>342</v>
      </c>
      <c r="B5" s="14">
        <v>16</v>
      </c>
    </row>
    <row r="6" spans="1:7" x14ac:dyDescent="0.3">
      <c r="A6" s="3" t="s">
        <v>193</v>
      </c>
      <c r="B6" s="14">
        <v>14</v>
      </c>
    </row>
    <row r="7" spans="1:7" x14ac:dyDescent="0.3">
      <c r="A7" s="3" t="s">
        <v>53</v>
      </c>
      <c r="B7" s="14">
        <v>10</v>
      </c>
    </row>
    <row r="8" spans="1:7" x14ac:dyDescent="0.3">
      <c r="A8" s="3" t="s">
        <v>328</v>
      </c>
      <c r="B8" s="14">
        <v>7</v>
      </c>
      <c r="D8" s="2" t="s">
        <v>822</v>
      </c>
      <c r="E8" t="s">
        <v>817</v>
      </c>
    </row>
    <row r="9" spans="1:7" x14ac:dyDescent="0.3">
      <c r="A9" s="3" t="s">
        <v>320</v>
      </c>
      <c r="B9" s="14">
        <v>6</v>
      </c>
      <c r="D9" s="3" t="s">
        <v>38</v>
      </c>
      <c r="E9" s="14">
        <v>11</v>
      </c>
    </row>
    <row r="10" spans="1:7" x14ac:dyDescent="0.3">
      <c r="A10" s="3" t="s">
        <v>225</v>
      </c>
      <c r="B10" s="14">
        <v>5</v>
      </c>
      <c r="D10" s="3" t="s">
        <v>48</v>
      </c>
      <c r="E10" s="14">
        <v>89</v>
      </c>
    </row>
    <row r="11" spans="1:7" x14ac:dyDescent="0.3">
      <c r="A11" s="3" t="s">
        <v>202</v>
      </c>
      <c r="B11" s="14">
        <v>4</v>
      </c>
      <c r="D11" s="3" t="s">
        <v>815</v>
      </c>
      <c r="E11" s="14">
        <v>100</v>
      </c>
    </row>
    <row r="12" spans="1:7" x14ac:dyDescent="0.3">
      <c r="A12" s="3" t="s">
        <v>377</v>
      </c>
      <c r="B12" s="14">
        <v>1</v>
      </c>
    </row>
    <row r="13" spans="1:7" x14ac:dyDescent="0.3">
      <c r="A13" s="3" t="s">
        <v>772</v>
      </c>
      <c r="B13" s="14">
        <v>1</v>
      </c>
    </row>
    <row r="14" spans="1:7" x14ac:dyDescent="0.3">
      <c r="A14" s="3" t="s">
        <v>751</v>
      </c>
      <c r="B14" s="14">
        <v>1</v>
      </c>
      <c r="D14" s="2" t="s">
        <v>820</v>
      </c>
      <c r="E14" t="s">
        <v>817</v>
      </c>
    </row>
    <row r="15" spans="1:7" x14ac:dyDescent="0.3">
      <c r="A15" s="3" t="s">
        <v>263</v>
      </c>
      <c r="B15" s="14">
        <v>1</v>
      </c>
      <c r="D15" s="3" t="s">
        <v>39</v>
      </c>
      <c r="E15" s="14">
        <v>67</v>
      </c>
    </row>
    <row r="16" spans="1:7" x14ac:dyDescent="0.3">
      <c r="A16" s="3" t="s">
        <v>152</v>
      </c>
      <c r="B16" s="14">
        <v>1</v>
      </c>
      <c r="D16" s="3" t="s">
        <v>100</v>
      </c>
      <c r="E16" s="14">
        <v>28</v>
      </c>
    </row>
    <row r="17" spans="1:5" x14ac:dyDescent="0.3">
      <c r="A17" s="3" t="s">
        <v>406</v>
      </c>
      <c r="B17" s="14">
        <v>1</v>
      </c>
      <c r="D17" s="3" t="s">
        <v>213</v>
      </c>
      <c r="E17" s="14">
        <v>5</v>
      </c>
    </row>
    <row r="18" spans="1:5" x14ac:dyDescent="0.3">
      <c r="A18" s="3" t="s">
        <v>815</v>
      </c>
      <c r="B18" s="14">
        <v>100</v>
      </c>
      <c r="D18" s="3" t="s">
        <v>815</v>
      </c>
      <c r="E18" s="14">
        <v>100</v>
      </c>
    </row>
    <row r="22" spans="1:5" x14ac:dyDescent="0.3">
      <c r="A22" s="2" t="s">
        <v>823</v>
      </c>
      <c r="B22" t="s">
        <v>819</v>
      </c>
      <c r="D22" s="2" t="s">
        <v>821</v>
      </c>
      <c r="E22" t="s">
        <v>817</v>
      </c>
    </row>
    <row r="23" spans="1:5" x14ac:dyDescent="0.3">
      <c r="A23" s="3" t="s">
        <v>115</v>
      </c>
      <c r="B23" s="14">
        <v>74689</v>
      </c>
      <c r="D23" s="3">
        <v>2010</v>
      </c>
      <c r="E23" s="14">
        <v>2</v>
      </c>
    </row>
    <row r="24" spans="1:5" x14ac:dyDescent="0.3">
      <c r="A24" s="3" t="s">
        <v>125</v>
      </c>
      <c r="B24" s="14">
        <v>67220</v>
      </c>
      <c r="D24" s="3">
        <v>2011</v>
      </c>
      <c r="E24" s="14">
        <v>1</v>
      </c>
    </row>
    <row r="25" spans="1:5" x14ac:dyDescent="0.3">
      <c r="A25" s="3" t="s">
        <v>132</v>
      </c>
      <c r="B25" s="14">
        <v>62136</v>
      </c>
      <c r="D25" s="3">
        <v>2012</v>
      </c>
      <c r="E25" s="14">
        <v>2</v>
      </c>
    </row>
    <row r="26" spans="1:5" x14ac:dyDescent="0.3">
      <c r="A26" s="3" t="s">
        <v>142</v>
      </c>
      <c r="B26" s="14">
        <v>49705</v>
      </c>
      <c r="D26" s="3">
        <v>2013</v>
      </c>
      <c r="E26" s="14">
        <v>2</v>
      </c>
    </row>
    <row r="27" spans="1:5" x14ac:dyDescent="0.3">
      <c r="A27" s="3" t="s">
        <v>149</v>
      </c>
      <c r="B27" s="14">
        <v>49146</v>
      </c>
      <c r="D27" s="3">
        <v>2014</v>
      </c>
      <c r="E27" s="14">
        <v>3</v>
      </c>
    </row>
    <row r="28" spans="1:5" x14ac:dyDescent="0.3">
      <c r="A28" s="3" t="s">
        <v>157</v>
      </c>
      <c r="B28" s="14">
        <v>45718</v>
      </c>
      <c r="D28" s="3">
        <v>2015</v>
      </c>
      <c r="E28" s="14">
        <v>5</v>
      </c>
    </row>
    <row r="29" spans="1:5" x14ac:dyDescent="0.3">
      <c r="A29" s="3" t="s">
        <v>164</v>
      </c>
      <c r="B29" s="14">
        <v>43951</v>
      </c>
      <c r="D29" s="3">
        <v>2016</v>
      </c>
      <c r="E29" s="14">
        <v>9</v>
      </c>
    </row>
    <row r="30" spans="1:5" x14ac:dyDescent="0.3">
      <c r="A30" s="3" t="s">
        <v>173</v>
      </c>
      <c r="B30" s="14">
        <v>43494</v>
      </c>
      <c r="D30" s="3">
        <v>2017</v>
      </c>
      <c r="E30" s="14">
        <v>12</v>
      </c>
    </row>
    <row r="31" spans="1:5" x14ac:dyDescent="0.3">
      <c r="A31" s="3" t="s">
        <v>181</v>
      </c>
      <c r="B31" s="14">
        <v>42172</v>
      </c>
      <c r="D31" s="3">
        <v>2018</v>
      </c>
      <c r="E31" s="14">
        <v>4</v>
      </c>
    </row>
    <row r="32" spans="1:5" x14ac:dyDescent="0.3">
      <c r="A32" s="3" t="s">
        <v>189</v>
      </c>
      <c r="B32" s="14">
        <v>36888</v>
      </c>
      <c r="D32" s="3">
        <v>2019</v>
      </c>
      <c r="E32" s="14">
        <v>10</v>
      </c>
    </row>
    <row r="33" spans="1:5" x14ac:dyDescent="0.3">
      <c r="A33" s="3" t="s">
        <v>815</v>
      </c>
      <c r="B33" s="14">
        <v>515119</v>
      </c>
      <c r="D33" s="3">
        <v>2020</v>
      </c>
      <c r="E33" s="14">
        <v>14</v>
      </c>
    </row>
    <row r="34" spans="1:5" x14ac:dyDescent="0.3">
      <c r="D34" s="3">
        <v>2021</v>
      </c>
      <c r="E34" s="14">
        <v>10</v>
      </c>
    </row>
    <row r="35" spans="1:5" x14ac:dyDescent="0.3">
      <c r="D35" s="3">
        <v>2022</v>
      </c>
      <c r="E35" s="14">
        <v>7</v>
      </c>
    </row>
    <row r="36" spans="1:5" x14ac:dyDescent="0.3">
      <c r="D36" s="3">
        <v>2023</v>
      </c>
      <c r="E36" s="14">
        <v>7</v>
      </c>
    </row>
    <row r="37" spans="1:5" x14ac:dyDescent="0.3">
      <c r="D37" s="3">
        <v>2024</v>
      </c>
      <c r="E37" s="14">
        <v>3</v>
      </c>
    </row>
    <row r="38" spans="1:5" x14ac:dyDescent="0.3">
      <c r="D38" s="3">
        <v>2025</v>
      </c>
      <c r="E38" s="14">
        <v>6</v>
      </c>
    </row>
    <row r="39" spans="1:5" x14ac:dyDescent="0.3">
      <c r="D39" s="3">
        <v>2026</v>
      </c>
      <c r="E39" s="14">
        <v>3</v>
      </c>
    </row>
    <row r="40" spans="1:5" x14ac:dyDescent="0.3">
      <c r="D40" s="3" t="s">
        <v>815</v>
      </c>
      <c r="E40" s="14">
        <v>100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41CF-E565-45CB-8E54-5CBF090F7B5F}">
  <dimension ref="A1:AQ101"/>
  <sheetViews>
    <sheetView topLeftCell="AM1" workbookViewId="0">
      <selection activeCell="AU20" sqref="AU20"/>
    </sheetView>
  </sheetViews>
  <sheetFormatPr defaultRowHeight="14.4" x14ac:dyDescent="0.3"/>
  <cols>
    <col min="1" max="1" width="14.33203125" bestFit="1" customWidth="1"/>
    <col min="2" max="2" width="38.88671875" bestFit="1" customWidth="1"/>
    <col min="3" max="3" width="45.44140625" bestFit="1" customWidth="1"/>
    <col min="4" max="4" width="24" bestFit="1" customWidth="1"/>
    <col min="5" max="5" width="13.33203125" bestFit="1" customWidth="1"/>
    <col min="6" max="6" width="62" bestFit="1" customWidth="1"/>
    <col min="7" max="7" width="80.88671875" bestFit="1" customWidth="1"/>
    <col min="8" max="8" width="18.5546875" bestFit="1" customWidth="1"/>
    <col min="9" max="11" width="15.44140625" bestFit="1" customWidth="1"/>
    <col min="12" max="12" width="9.33203125" bestFit="1" customWidth="1"/>
    <col min="13" max="13" width="13" bestFit="1" customWidth="1"/>
    <col min="14" max="14" width="16.77734375" bestFit="1" customWidth="1"/>
    <col min="15" max="15" width="13.33203125" bestFit="1" customWidth="1"/>
    <col min="16" max="16" width="19.5546875" bestFit="1" customWidth="1"/>
    <col min="17" max="17" width="16.21875" bestFit="1" customWidth="1"/>
    <col min="18" max="18" width="80.88671875" bestFit="1" customWidth="1"/>
    <col min="19" max="19" width="50.109375" bestFit="1" customWidth="1"/>
    <col min="20" max="20" width="80.88671875" bestFit="1" customWidth="1"/>
    <col min="21" max="21" width="12" bestFit="1" customWidth="1"/>
    <col min="22" max="22" width="13.88671875" bestFit="1" customWidth="1"/>
    <col min="23" max="23" width="10.44140625" bestFit="1" customWidth="1"/>
    <col min="24" max="24" width="12" bestFit="1" customWidth="1"/>
    <col min="26" max="26" width="12.6640625" bestFit="1" customWidth="1"/>
    <col min="27" max="27" width="12.44140625" bestFit="1" customWidth="1"/>
    <col min="28" max="28" width="10" bestFit="1" customWidth="1"/>
    <col min="29" max="29" width="20.88671875" bestFit="1" customWidth="1"/>
    <col min="30" max="30" width="19.5546875" bestFit="1" customWidth="1"/>
    <col min="31" max="31" width="21.5546875" bestFit="1" customWidth="1"/>
    <col min="32" max="32" width="14.21875" bestFit="1" customWidth="1"/>
    <col min="33" max="33" width="16.33203125" bestFit="1" customWidth="1"/>
    <col min="34" max="34" width="15" bestFit="1" customWidth="1"/>
    <col min="35" max="35" width="10" bestFit="1" customWidth="1"/>
    <col min="36" max="36" width="16.6640625" bestFit="1" customWidth="1"/>
    <col min="37" max="37" width="16.5546875" bestFit="1" customWidth="1"/>
    <col min="38" max="38" width="16" bestFit="1" customWidth="1"/>
    <col min="39" max="39" width="17.44140625" bestFit="1" customWidth="1"/>
    <col min="40" max="40" width="24.33203125" bestFit="1" customWidth="1"/>
    <col min="41" max="41" width="12.77734375" bestFit="1" customWidth="1"/>
    <col min="42" max="42" width="18.5546875" bestFit="1" customWidth="1"/>
    <col min="43" max="43" width="22" customWidth="1"/>
  </cols>
  <sheetData>
    <row r="1" spans="1:43" x14ac:dyDescent="0.3">
      <c r="A1" t="s">
        <v>0</v>
      </c>
      <c r="B1" t="s">
        <v>1</v>
      </c>
      <c r="C1" t="s">
        <v>2</v>
      </c>
      <c r="D1" t="s">
        <v>101</v>
      </c>
      <c r="E1" t="s">
        <v>102</v>
      </c>
      <c r="F1" t="s">
        <v>3</v>
      </c>
      <c r="G1" t="s">
        <v>4</v>
      </c>
      <c r="H1" t="s">
        <v>5</v>
      </c>
      <c r="I1" t="s">
        <v>6</v>
      </c>
      <c r="J1" t="s">
        <v>7</v>
      </c>
      <c r="K1" t="s">
        <v>8</v>
      </c>
      <c r="L1" t="s">
        <v>9</v>
      </c>
      <c r="M1" t="s">
        <v>10</v>
      </c>
      <c r="N1" t="s">
        <v>11</v>
      </c>
      <c r="O1" t="s">
        <v>12</v>
      </c>
      <c r="P1" t="s">
        <v>13</v>
      </c>
      <c r="Q1" t="s">
        <v>14</v>
      </c>
      <c r="R1" t="s">
        <v>103</v>
      </c>
      <c r="S1" t="s">
        <v>104</v>
      </c>
      <c r="T1" t="s">
        <v>105</v>
      </c>
      <c r="U1" t="s">
        <v>106</v>
      </c>
      <c r="V1" t="s">
        <v>107</v>
      </c>
      <c r="W1" t="s">
        <v>108</v>
      </c>
      <c r="X1" t="s">
        <v>109</v>
      </c>
      <c r="Y1" t="s">
        <v>15</v>
      </c>
      <c r="Z1" t="s">
        <v>16</v>
      </c>
      <c r="AA1" t="s">
        <v>17</v>
      </c>
      <c r="AB1" t="s">
        <v>18</v>
      </c>
      <c r="AC1" t="s">
        <v>19</v>
      </c>
      <c r="AD1" t="s">
        <v>20</v>
      </c>
      <c r="AE1" t="s">
        <v>110</v>
      </c>
      <c r="AF1" t="s">
        <v>21</v>
      </c>
      <c r="AG1" t="s">
        <v>22</v>
      </c>
      <c r="AH1" t="s">
        <v>23</v>
      </c>
      <c r="AI1" t="s">
        <v>24</v>
      </c>
      <c r="AJ1" t="s">
        <v>25</v>
      </c>
      <c r="AK1" t="s">
        <v>26</v>
      </c>
      <c r="AL1" t="s">
        <v>27</v>
      </c>
      <c r="AM1" t="s">
        <v>28</v>
      </c>
      <c r="AN1" t="s">
        <v>831</v>
      </c>
      <c r="AO1" t="s">
        <v>111</v>
      </c>
      <c r="AP1" t="s">
        <v>112</v>
      </c>
      <c r="AQ1" t="s">
        <v>113</v>
      </c>
    </row>
    <row r="2" spans="1:43" x14ac:dyDescent="0.3">
      <c r="A2">
        <v>39464018</v>
      </c>
      <c r="B2" t="s">
        <v>114</v>
      </c>
      <c r="C2" t="s">
        <v>115</v>
      </c>
      <c r="D2" t="s">
        <v>116</v>
      </c>
      <c r="E2" t="s">
        <v>117</v>
      </c>
      <c r="F2" t="s">
        <v>118</v>
      </c>
      <c r="G2" t="s">
        <v>119</v>
      </c>
      <c r="H2" t="s">
        <v>33</v>
      </c>
      <c r="I2" s="1">
        <v>42207.017754629633</v>
      </c>
      <c r="J2" s="1">
        <v>46274.465208333335</v>
      </c>
      <c r="K2" s="1">
        <v>46274.464756944442</v>
      </c>
      <c r="L2">
        <v>1132012</v>
      </c>
      <c r="M2">
        <v>74689</v>
      </c>
      <c r="N2">
        <v>74689</v>
      </c>
      <c r="O2">
        <v>18236</v>
      </c>
      <c r="P2">
        <v>591</v>
      </c>
      <c r="Q2" t="s">
        <v>120</v>
      </c>
      <c r="R2" t="s">
        <v>121</v>
      </c>
      <c r="S2" t="s">
        <v>122</v>
      </c>
      <c r="T2" t="s">
        <v>123</v>
      </c>
      <c r="U2" t="b">
        <v>1</v>
      </c>
      <c r="V2" t="b">
        <v>1</v>
      </c>
      <c r="W2" t="b">
        <v>1</v>
      </c>
      <c r="X2" t="b">
        <v>1</v>
      </c>
      <c r="Y2" t="b">
        <v>0</v>
      </c>
      <c r="Z2" t="b">
        <v>0</v>
      </c>
      <c r="AA2" t="b">
        <v>0</v>
      </c>
      <c r="AB2" t="s">
        <v>35</v>
      </c>
      <c r="AC2">
        <v>4073</v>
      </c>
      <c r="AD2">
        <v>5</v>
      </c>
      <c r="AE2">
        <v>5</v>
      </c>
      <c r="AF2">
        <v>2015</v>
      </c>
      <c r="AG2" t="s">
        <v>54</v>
      </c>
      <c r="AH2">
        <v>2026</v>
      </c>
      <c r="AI2">
        <v>1105.48</v>
      </c>
      <c r="AJ2" t="s">
        <v>37</v>
      </c>
      <c r="AK2" t="s">
        <v>48</v>
      </c>
      <c r="AL2" t="s">
        <v>39</v>
      </c>
      <c r="AM2">
        <v>111161</v>
      </c>
      <c r="AN2" s="14" t="s">
        <v>832</v>
      </c>
      <c r="AO2" t="s">
        <v>48</v>
      </c>
      <c r="AP2">
        <v>0.2442</v>
      </c>
      <c r="AQ2">
        <v>7.91</v>
      </c>
    </row>
    <row r="3" spans="1:43" x14ac:dyDescent="0.3">
      <c r="A3">
        <v>843222</v>
      </c>
      <c r="B3" t="s">
        <v>124</v>
      </c>
      <c r="C3" t="s">
        <v>125</v>
      </c>
      <c r="D3" t="s">
        <v>124</v>
      </c>
      <c r="E3" t="s">
        <v>117</v>
      </c>
      <c r="F3" t="s">
        <v>126</v>
      </c>
      <c r="G3" t="s">
        <v>127</v>
      </c>
      <c r="H3" t="s">
        <v>33</v>
      </c>
      <c r="I3" s="1">
        <v>40407.634467592594</v>
      </c>
      <c r="J3" s="1">
        <v>46274.352881944447</v>
      </c>
      <c r="K3" s="1">
        <v>46273.662939814814</v>
      </c>
      <c r="L3">
        <v>187029</v>
      </c>
      <c r="M3">
        <v>67220</v>
      </c>
      <c r="N3">
        <v>67220</v>
      </c>
      <c r="O3">
        <v>27377</v>
      </c>
      <c r="P3">
        <v>2149</v>
      </c>
      <c r="Q3" t="s">
        <v>34</v>
      </c>
      <c r="R3" t="s">
        <v>128</v>
      </c>
      <c r="S3" t="s">
        <v>129</v>
      </c>
      <c r="T3" t="s">
        <v>130</v>
      </c>
      <c r="U3" t="b">
        <v>1</v>
      </c>
      <c r="V3" t="b">
        <v>1</v>
      </c>
      <c r="W3" t="b">
        <v>1</v>
      </c>
      <c r="X3" t="b">
        <v>0</v>
      </c>
      <c r="Y3" t="b">
        <v>0</v>
      </c>
      <c r="Z3" t="b">
        <v>0</v>
      </c>
      <c r="AA3" t="b">
        <v>0</v>
      </c>
      <c r="AB3" t="s">
        <v>35</v>
      </c>
      <c r="AC3">
        <v>5872</v>
      </c>
      <c r="AD3">
        <v>5</v>
      </c>
      <c r="AE3">
        <v>6</v>
      </c>
      <c r="AF3">
        <v>2010</v>
      </c>
      <c r="AG3" t="s">
        <v>47</v>
      </c>
      <c r="AH3">
        <v>2026</v>
      </c>
      <c r="AI3">
        <v>182.65</v>
      </c>
      <c r="AJ3" t="s">
        <v>37</v>
      </c>
      <c r="AK3" t="s">
        <v>48</v>
      </c>
      <c r="AL3" t="s">
        <v>39</v>
      </c>
      <c r="AM3">
        <v>121974</v>
      </c>
      <c r="AN3" s="14" t="s">
        <v>832</v>
      </c>
      <c r="AO3" t="s">
        <v>48</v>
      </c>
      <c r="AP3">
        <v>0.4073</v>
      </c>
      <c r="AQ3">
        <v>31.97</v>
      </c>
    </row>
    <row r="4" spans="1:43" x14ac:dyDescent="0.3">
      <c r="A4">
        <v>974186260</v>
      </c>
      <c r="B4" t="s">
        <v>131</v>
      </c>
      <c r="C4" t="s">
        <v>132</v>
      </c>
      <c r="D4" t="s">
        <v>133</v>
      </c>
      <c r="E4" t="s">
        <v>134</v>
      </c>
      <c r="F4" t="s">
        <v>135</v>
      </c>
      <c r="G4" t="s">
        <v>136</v>
      </c>
      <c r="H4" t="s">
        <v>33</v>
      </c>
      <c r="I4" s="1">
        <v>45775.716851851852</v>
      </c>
      <c r="J4" s="1">
        <v>46274.486296296294</v>
      </c>
      <c r="K4" s="1">
        <v>46268.75277777778</v>
      </c>
      <c r="L4">
        <v>32478</v>
      </c>
      <c r="M4">
        <v>62136</v>
      </c>
      <c r="N4">
        <v>62136</v>
      </c>
      <c r="O4">
        <v>24886</v>
      </c>
      <c r="P4">
        <v>59</v>
      </c>
      <c r="Q4" t="s">
        <v>120</v>
      </c>
      <c r="R4" t="s">
        <v>137</v>
      </c>
      <c r="S4" t="s">
        <v>138</v>
      </c>
      <c r="T4" t="s">
        <v>139</v>
      </c>
      <c r="U4" t="b">
        <v>1</v>
      </c>
      <c r="V4" t="b">
        <v>0</v>
      </c>
      <c r="W4" t="b">
        <v>0</v>
      </c>
      <c r="X4" t="b">
        <v>1</v>
      </c>
      <c r="Y4" t="b">
        <v>0</v>
      </c>
      <c r="Z4" t="b">
        <v>0</v>
      </c>
      <c r="AA4" t="b">
        <v>0</v>
      </c>
      <c r="AB4" t="s">
        <v>35</v>
      </c>
      <c r="AC4">
        <v>504</v>
      </c>
      <c r="AD4">
        <v>5</v>
      </c>
      <c r="AE4">
        <v>11</v>
      </c>
      <c r="AF4">
        <v>2025</v>
      </c>
      <c r="AG4" t="s">
        <v>140</v>
      </c>
      <c r="AH4">
        <v>2026</v>
      </c>
      <c r="AI4">
        <v>31.72</v>
      </c>
      <c r="AJ4" t="s">
        <v>37</v>
      </c>
      <c r="AK4" t="s">
        <v>48</v>
      </c>
      <c r="AL4" t="s">
        <v>39</v>
      </c>
      <c r="AM4">
        <v>111908</v>
      </c>
      <c r="AN4" s="14" t="s">
        <v>832</v>
      </c>
      <c r="AO4" t="s">
        <v>48</v>
      </c>
      <c r="AP4">
        <v>0.40050000000000002</v>
      </c>
      <c r="AQ4">
        <v>0.95</v>
      </c>
    </row>
    <row r="5" spans="1:43" x14ac:dyDescent="0.3">
      <c r="A5">
        <v>858127</v>
      </c>
      <c r="B5" t="s">
        <v>141</v>
      </c>
      <c r="C5" t="s">
        <v>142</v>
      </c>
      <c r="D5" t="s">
        <v>143</v>
      </c>
      <c r="E5" t="s">
        <v>117</v>
      </c>
      <c r="F5" t="s">
        <v>144</v>
      </c>
      <c r="G5" t="s">
        <v>145</v>
      </c>
      <c r="H5" t="s">
        <v>33</v>
      </c>
      <c r="I5" s="1">
        <v>40414.296909722223</v>
      </c>
      <c r="J5" s="1">
        <v>46274.518923611111</v>
      </c>
      <c r="K5" s="1">
        <v>46274.099699074075</v>
      </c>
      <c r="L5">
        <v>412077</v>
      </c>
      <c r="M5">
        <v>49705</v>
      </c>
      <c r="N5">
        <v>49705</v>
      </c>
      <c r="O5">
        <v>20358</v>
      </c>
      <c r="P5">
        <v>2730</v>
      </c>
      <c r="Q5" t="s">
        <v>34</v>
      </c>
      <c r="R5" t="s">
        <v>146</v>
      </c>
      <c r="S5" t="s">
        <v>129</v>
      </c>
      <c r="T5" t="s">
        <v>147</v>
      </c>
      <c r="U5" t="b">
        <v>1</v>
      </c>
      <c r="V5" t="b">
        <v>1</v>
      </c>
      <c r="W5" t="b">
        <v>0</v>
      </c>
      <c r="X5" t="b">
        <v>0</v>
      </c>
      <c r="Y5" t="b">
        <v>0</v>
      </c>
      <c r="Z5" t="b">
        <v>0</v>
      </c>
      <c r="AA5" t="b">
        <v>0</v>
      </c>
      <c r="AB5" t="s">
        <v>35</v>
      </c>
      <c r="AC5">
        <v>5865</v>
      </c>
      <c r="AD5">
        <v>5</v>
      </c>
      <c r="AE5">
        <v>6</v>
      </c>
      <c r="AF5">
        <v>2010</v>
      </c>
      <c r="AG5" t="s">
        <v>47</v>
      </c>
      <c r="AH5">
        <v>2026</v>
      </c>
      <c r="AI5">
        <v>402.42</v>
      </c>
      <c r="AJ5" t="s">
        <v>37</v>
      </c>
      <c r="AK5" t="s">
        <v>48</v>
      </c>
      <c r="AL5" t="s">
        <v>39</v>
      </c>
      <c r="AM5">
        <v>90421</v>
      </c>
      <c r="AN5" s="14" t="s">
        <v>832</v>
      </c>
      <c r="AO5" t="s">
        <v>48</v>
      </c>
      <c r="AP5">
        <v>0.40960000000000002</v>
      </c>
      <c r="AQ5">
        <v>54.92</v>
      </c>
    </row>
    <row r="6" spans="1:43" x14ac:dyDescent="0.3">
      <c r="A6">
        <v>30203935</v>
      </c>
      <c r="B6" t="s">
        <v>148</v>
      </c>
      <c r="C6" t="s">
        <v>149</v>
      </c>
      <c r="D6" t="s">
        <v>148</v>
      </c>
      <c r="E6" t="s">
        <v>117</v>
      </c>
      <c r="F6" t="s">
        <v>150</v>
      </c>
      <c r="G6" t="s">
        <v>151</v>
      </c>
      <c r="H6" t="s">
        <v>152</v>
      </c>
      <c r="I6" s="1">
        <v>42038.038738425923</v>
      </c>
      <c r="J6" s="1">
        <v>46274.521921296298</v>
      </c>
      <c r="K6" s="1">
        <v>46274.520821759259</v>
      </c>
      <c r="L6">
        <v>2275696</v>
      </c>
      <c r="M6">
        <v>49146</v>
      </c>
      <c r="N6">
        <v>49146</v>
      </c>
      <c r="O6">
        <v>6801</v>
      </c>
      <c r="P6">
        <v>4386</v>
      </c>
      <c r="Q6" t="s">
        <v>120</v>
      </c>
      <c r="R6" t="s">
        <v>153</v>
      </c>
      <c r="S6" t="s">
        <v>154</v>
      </c>
      <c r="T6" t="s">
        <v>155</v>
      </c>
      <c r="U6" t="b">
        <v>1</v>
      </c>
      <c r="V6" t="b">
        <v>0</v>
      </c>
      <c r="W6" t="b">
        <v>0</v>
      </c>
      <c r="X6" t="b">
        <v>0</v>
      </c>
      <c r="Y6" t="b">
        <v>0</v>
      </c>
      <c r="Z6" t="b">
        <v>0</v>
      </c>
      <c r="AA6" t="b">
        <v>0</v>
      </c>
      <c r="AB6" t="s">
        <v>35</v>
      </c>
      <c r="AC6">
        <v>4242</v>
      </c>
      <c r="AD6">
        <v>5</v>
      </c>
      <c r="AE6">
        <v>5</v>
      </c>
      <c r="AF6">
        <v>2015</v>
      </c>
      <c r="AG6" t="s">
        <v>98</v>
      </c>
      <c r="AH6">
        <v>2026</v>
      </c>
      <c r="AI6">
        <v>2222.36</v>
      </c>
      <c r="AJ6" t="s">
        <v>37</v>
      </c>
      <c r="AK6" t="s">
        <v>48</v>
      </c>
      <c r="AL6" t="s">
        <v>39</v>
      </c>
      <c r="AM6">
        <v>62748</v>
      </c>
      <c r="AN6" s="14" t="s">
        <v>832</v>
      </c>
      <c r="AO6" t="s">
        <v>48</v>
      </c>
      <c r="AP6">
        <v>0.1384</v>
      </c>
      <c r="AQ6">
        <v>89.24</v>
      </c>
    </row>
    <row r="7" spans="1:43" x14ac:dyDescent="0.3">
      <c r="A7">
        <v>204086862</v>
      </c>
      <c r="B7" t="s">
        <v>156</v>
      </c>
      <c r="C7" t="s">
        <v>157</v>
      </c>
      <c r="D7" t="s">
        <v>156</v>
      </c>
      <c r="E7" t="s">
        <v>117</v>
      </c>
      <c r="F7" t="s">
        <v>158</v>
      </c>
      <c r="G7" t="s">
        <v>159</v>
      </c>
      <c r="H7" t="s">
        <v>33</v>
      </c>
      <c r="I7" s="1">
        <v>43701.239490740743</v>
      </c>
      <c r="J7" s="1">
        <v>46274.478032407409</v>
      </c>
      <c r="K7" s="1">
        <v>46274.421689814815</v>
      </c>
      <c r="L7">
        <v>1086195</v>
      </c>
      <c r="M7">
        <v>45718</v>
      </c>
      <c r="N7">
        <v>45718</v>
      </c>
      <c r="O7">
        <v>4376</v>
      </c>
      <c r="P7">
        <v>1170</v>
      </c>
      <c r="Q7" t="s">
        <v>160</v>
      </c>
      <c r="R7" t="s">
        <v>161</v>
      </c>
      <c r="S7" t="s">
        <v>122</v>
      </c>
      <c r="T7" t="s">
        <v>162</v>
      </c>
      <c r="U7" t="b">
        <v>1</v>
      </c>
      <c r="V7" t="b">
        <v>0</v>
      </c>
      <c r="W7" t="b">
        <v>0</v>
      </c>
      <c r="X7" t="b">
        <v>0</v>
      </c>
      <c r="Y7" t="b">
        <v>0</v>
      </c>
      <c r="Z7" t="b">
        <v>0</v>
      </c>
      <c r="AA7" t="b">
        <v>0</v>
      </c>
      <c r="AB7" t="s">
        <v>35</v>
      </c>
      <c r="AC7">
        <v>2578</v>
      </c>
      <c r="AD7">
        <v>5</v>
      </c>
      <c r="AE7">
        <v>5</v>
      </c>
      <c r="AF7">
        <v>2019</v>
      </c>
      <c r="AG7" t="s">
        <v>47</v>
      </c>
      <c r="AH7">
        <v>2026</v>
      </c>
      <c r="AI7">
        <v>1060.74</v>
      </c>
      <c r="AJ7" t="s">
        <v>37</v>
      </c>
      <c r="AK7" t="s">
        <v>48</v>
      </c>
      <c r="AL7" t="s">
        <v>39</v>
      </c>
      <c r="AM7">
        <v>54470</v>
      </c>
      <c r="AN7" s="14" t="s">
        <v>832</v>
      </c>
      <c r="AO7" t="s">
        <v>48</v>
      </c>
      <c r="AP7">
        <v>9.5699999999999993E-2</v>
      </c>
      <c r="AQ7">
        <v>25.59</v>
      </c>
    </row>
    <row r="8" spans="1:43" x14ac:dyDescent="0.3">
      <c r="A8">
        <v>1079456184</v>
      </c>
      <c r="B8" t="s">
        <v>163</v>
      </c>
      <c r="C8" t="s">
        <v>164</v>
      </c>
      <c r="D8" t="s">
        <v>165</v>
      </c>
      <c r="E8" t="s">
        <v>117</v>
      </c>
      <c r="F8" t="s">
        <v>166</v>
      </c>
      <c r="G8" t="s">
        <v>167</v>
      </c>
      <c r="H8" t="s">
        <v>33</v>
      </c>
      <c r="I8" s="1">
        <v>45950.100173611114</v>
      </c>
      <c r="J8" s="1">
        <v>46274.521134259259</v>
      </c>
      <c r="K8" s="1">
        <v>46272.628784722219</v>
      </c>
      <c r="L8">
        <v>249602</v>
      </c>
      <c r="M8">
        <v>43951</v>
      </c>
      <c r="N8">
        <v>43951</v>
      </c>
      <c r="O8">
        <v>3993</v>
      </c>
      <c r="P8">
        <v>31</v>
      </c>
      <c r="Q8" t="s">
        <v>34</v>
      </c>
      <c r="R8" t="s">
        <v>168</v>
      </c>
      <c r="S8" t="s">
        <v>169</v>
      </c>
      <c r="T8" t="s">
        <v>170</v>
      </c>
      <c r="U8" t="b">
        <v>1</v>
      </c>
      <c r="V8" t="b">
        <v>0</v>
      </c>
      <c r="W8" t="b">
        <v>0</v>
      </c>
      <c r="X8" t="b">
        <v>0</v>
      </c>
      <c r="Y8" t="b">
        <v>0</v>
      </c>
      <c r="Z8" t="b">
        <v>0</v>
      </c>
      <c r="AA8" t="b">
        <v>0</v>
      </c>
      <c r="AB8" t="s">
        <v>35</v>
      </c>
      <c r="AC8">
        <v>330</v>
      </c>
      <c r="AD8">
        <v>5</v>
      </c>
      <c r="AE8">
        <v>7</v>
      </c>
      <c r="AF8">
        <v>2025</v>
      </c>
      <c r="AG8" t="s">
        <v>171</v>
      </c>
      <c r="AH8">
        <v>2026</v>
      </c>
      <c r="AI8">
        <v>243.75</v>
      </c>
      <c r="AJ8" t="s">
        <v>37</v>
      </c>
      <c r="AK8" t="s">
        <v>48</v>
      </c>
      <c r="AL8" t="s">
        <v>39</v>
      </c>
      <c r="AM8">
        <v>51937</v>
      </c>
      <c r="AN8" s="14" t="s">
        <v>832</v>
      </c>
      <c r="AO8" t="s">
        <v>48</v>
      </c>
      <c r="AP8">
        <v>9.0899999999999995E-2</v>
      </c>
      <c r="AQ8">
        <v>0.71</v>
      </c>
    </row>
    <row r="9" spans="1:43" x14ac:dyDescent="0.3">
      <c r="A9">
        <v>162405963</v>
      </c>
      <c r="B9" t="s">
        <v>172</v>
      </c>
      <c r="C9" t="s">
        <v>173</v>
      </c>
      <c r="D9" t="s">
        <v>174</v>
      </c>
      <c r="E9" t="s">
        <v>117</v>
      </c>
      <c r="F9" t="s">
        <v>175</v>
      </c>
      <c r="G9" t="s">
        <v>176</v>
      </c>
      <c r="H9" t="s">
        <v>33</v>
      </c>
      <c r="I9" s="1">
        <v>43453.579212962963</v>
      </c>
      <c r="J9" s="1">
        <v>46274.356307870374</v>
      </c>
      <c r="K9" s="1">
        <v>46274.306932870371</v>
      </c>
      <c r="L9">
        <v>359297</v>
      </c>
      <c r="M9">
        <v>43494</v>
      </c>
      <c r="N9">
        <v>43494</v>
      </c>
      <c r="O9">
        <v>3591</v>
      </c>
      <c r="P9">
        <v>152</v>
      </c>
      <c r="Q9" t="s">
        <v>34</v>
      </c>
      <c r="R9" t="s">
        <v>177</v>
      </c>
      <c r="S9" t="s">
        <v>122</v>
      </c>
      <c r="T9" t="s">
        <v>178</v>
      </c>
      <c r="U9" t="b">
        <v>1</v>
      </c>
      <c r="V9" t="b">
        <v>1</v>
      </c>
      <c r="W9" t="b">
        <v>1</v>
      </c>
      <c r="X9" t="b">
        <v>0</v>
      </c>
      <c r="Y9" t="b">
        <v>0</v>
      </c>
      <c r="Z9" t="b">
        <v>0</v>
      </c>
      <c r="AA9" t="b">
        <v>0</v>
      </c>
      <c r="AB9" t="s">
        <v>35</v>
      </c>
      <c r="AC9">
        <v>2826</v>
      </c>
      <c r="AD9">
        <v>5</v>
      </c>
      <c r="AE9">
        <v>5</v>
      </c>
      <c r="AF9">
        <v>2018</v>
      </c>
      <c r="AG9" t="s">
        <v>179</v>
      </c>
      <c r="AH9">
        <v>2026</v>
      </c>
      <c r="AI9">
        <v>350.88</v>
      </c>
      <c r="AJ9" t="s">
        <v>37</v>
      </c>
      <c r="AK9" t="s">
        <v>48</v>
      </c>
      <c r="AL9" t="s">
        <v>39</v>
      </c>
      <c r="AM9">
        <v>50676</v>
      </c>
      <c r="AN9" s="14" t="s">
        <v>832</v>
      </c>
      <c r="AO9" t="s">
        <v>48</v>
      </c>
      <c r="AP9">
        <v>8.2600000000000007E-2</v>
      </c>
      <c r="AQ9">
        <v>3.49</v>
      </c>
    </row>
    <row r="10" spans="1:43" x14ac:dyDescent="0.3">
      <c r="A10">
        <v>822604462</v>
      </c>
      <c r="B10" t="s">
        <v>180</v>
      </c>
      <c r="C10" t="s">
        <v>181</v>
      </c>
      <c r="D10" t="s">
        <v>182</v>
      </c>
      <c r="E10" t="s">
        <v>134</v>
      </c>
      <c r="F10" t="s">
        <v>183</v>
      </c>
      <c r="G10" t="s">
        <v>184</v>
      </c>
      <c r="H10" t="s">
        <v>33</v>
      </c>
      <c r="I10" s="1">
        <v>45474.778912037036</v>
      </c>
      <c r="J10" s="1">
        <v>46274.441030092596</v>
      </c>
      <c r="K10" s="1">
        <v>46269.637245370373</v>
      </c>
      <c r="L10">
        <v>192572</v>
      </c>
      <c r="M10">
        <v>42172</v>
      </c>
      <c r="N10">
        <v>42172</v>
      </c>
      <c r="O10">
        <v>7619</v>
      </c>
      <c r="P10">
        <v>5</v>
      </c>
      <c r="Q10" t="s">
        <v>34</v>
      </c>
      <c r="R10" t="s">
        <v>185</v>
      </c>
      <c r="S10" t="s">
        <v>186</v>
      </c>
      <c r="T10" t="s">
        <v>187</v>
      </c>
      <c r="U10" t="b">
        <v>1</v>
      </c>
      <c r="V10" t="b">
        <v>1</v>
      </c>
      <c r="W10" t="b">
        <v>1</v>
      </c>
      <c r="X10" t="b">
        <v>0</v>
      </c>
      <c r="Y10" t="b">
        <v>0</v>
      </c>
      <c r="Z10" t="b">
        <v>0</v>
      </c>
      <c r="AA10" t="b">
        <v>0</v>
      </c>
      <c r="AB10" t="s">
        <v>35</v>
      </c>
      <c r="AC10">
        <v>805</v>
      </c>
      <c r="AD10">
        <v>5</v>
      </c>
      <c r="AE10">
        <v>10</v>
      </c>
      <c r="AF10">
        <v>2024</v>
      </c>
      <c r="AG10" t="s">
        <v>54</v>
      </c>
      <c r="AH10">
        <v>2026</v>
      </c>
      <c r="AI10">
        <v>188.06</v>
      </c>
      <c r="AJ10" t="s">
        <v>37</v>
      </c>
      <c r="AK10" t="s">
        <v>48</v>
      </c>
      <c r="AL10" t="s">
        <v>39</v>
      </c>
      <c r="AM10">
        <v>57410</v>
      </c>
      <c r="AN10" s="14" t="s">
        <v>832</v>
      </c>
      <c r="AO10" t="s">
        <v>48</v>
      </c>
      <c r="AP10">
        <v>0.1807</v>
      </c>
      <c r="AQ10">
        <v>0.12</v>
      </c>
    </row>
    <row r="11" spans="1:43" x14ac:dyDescent="0.3">
      <c r="A11">
        <v>344191198</v>
      </c>
      <c r="B11" t="s">
        <v>188</v>
      </c>
      <c r="C11" t="s">
        <v>189</v>
      </c>
      <c r="D11" t="s">
        <v>190</v>
      </c>
      <c r="E11" t="s">
        <v>117</v>
      </c>
      <c r="F11" t="s">
        <v>191</v>
      </c>
      <c r="G11" t="s">
        <v>192</v>
      </c>
      <c r="H11" t="s">
        <v>193</v>
      </c>
      <c r="I11" s="1">
        <v>44258.91684027778</v>
      </c>
      <c r="J11" s="1">
        <v>46274.45652777778</v>
      </c>
      <c r="K11" s="1">
        <v>46272.254189814812</v>
      </c>
      <c r="L11">
        <v>1845546</v>
      </c>
      <c r="M11">
        <v>36888</v>
      </c>
      <c r="N11">
        <v>36888</v>
      </c>
      <c r="O11">
        <v>7461</v>
      </c>
      <c r="P11">
        <v>13</v>
      </c>
      <c r="Q11" t="s">
        <v>34</v>
      </c>
      <c r="R11" t="s">
        <v>194</v>
      </c>
      <c r="S11" t="s">
        <v>169</v>
      </c>
      <c r="T11" t="s">
        <v>195</v>
      </c>
      <c r="U11" t="b">
        <v>1</v>
      </c>
      <c r="V11" t="b">
        <v>0</v>
      </c>
      <c r="W11" t="b">
        <v>0</v>
      </c>
      <c r="X11" t="b">
        <v>1</v>
      </c>
      <c r="Y11" t="b">
        <v>0</v>
      </c>
      <c r="Z11" t="b">
        <v>0</v>
      </c>
      <c r="AA11" t="b">
        <v>0</v>
      </c>
      <c r="AB11" t="s">
        <v>35</v>
      </c>
      <c r="AC11">
        <v>2021</v>
      </c>
      <c r="AD11">
        <v>5</v>
      </c>
      <c r="AE11">
        <v>7</v>
      </c>
      <c r="AF11">
        <v>2021</v>
      </c>
      <c r="AG11" t="s">
        <v>196</v>
      </c>
      <c r="AH11">
        <v>2026</v>
      </c>
      <c r="AI11">
        <v>1802.29</v>
      </c>
      <c r="AJ11" t="s">
        <v>37</v>
      </c>
      <c r="AK11" t="s">
        <v>48</v>
      </c>
      <c r="AL11" t="s">
        <v>39</v>
      </c>
      <c r="AM11">
        <v>51810</v>
      </c>
      <c r="AN11" s="14" t="s">
        <v>832</v>
      </c>
      <c r="AO11" t="s">
        <v>48</v>
      </c>
      <c r="AP11">
        <v>0.20230000000000001</v>
      </c>
      <c r="AQ11">
        <v>0.35</v>
      </c>
    </row>
    <row r="12" spans="1:43" x14ac:dyDescent="0.3">
      <c r="A12">
        <v>74962515</v>
      </c>
      <c r="B12" t="s">
        <v>197</v>
      </c>
      <c r="C12" t="s">
        <v>198</v>
      </c>
      <c r="D12" t="s">
        <v>199</v>
      </c>
      <c r="E12" t="s">
        <v>117</v>
      </c>
      <c r="F12" t="s">
        <v>200</v>
      </c>
      <c r="G12" t="s">
        <v>201</v>
      </c>
      <c r="H12" t="s">
        <v>202</v>
      </c>
      <c r="I12" s="1">
        <v>42702.669525462959</v>
      </c>
      <c r="J12" s="1">
        <v>46274.504814814813</v>
      </c>
      <c r="K12" s="1">
        <v>46272.653807870367</v>
      </c>
      <c r="L12">
        <v>148729</v>
      </c>
      <c r="M12">
        <v>35783</v>
      </c>
      <c r="N12">
        <v>35783</v>
      </c>
      <c r="O12">
        <v>4139</v>
      </c>
      <c r="P12">
        <v>563</v>
      </c>
      <c r="Q12" t="s">
        <v>120</v>
      </c>
      <c r="R12" t="s">
        <v>203</v>
      </c>
      <c r="S12" t="s">
        <v>122</v>
      </c>
      <c r="T12" t="s">
        <v>204</v>
      </c>
      <c r="U12" t="b">
        <v>1</v>
      </c>
      <c r="V12" t="b">
        <v>0</v>
      </c>
      <c r="W12" t="b">
        <v>1</v>
      </c>
      <c r="X12" t="b">
        <v>1</v>
      </c>
      <c r="Y12" t="b">
        <v>0</v>
      </c>
      <c r="Z12" t="b">
        <v>0</v>
      </c>
      <c r="AA12" t="b">
        <v>0</v>
      </c>
      <c r="AB12" t="s">
        <v>35</v>
      </c>
      <c r="AC12">
        <v>3577</v>
      </c>
      <c r="AD12">
        <v>5</v>
      </c>
      <c r="AE12">
        <v>7</v>
      </c>
      <c r="AF12">
        <v>2016</v>
      </c>
      <c r="AG12" t="s">
        <v>205</v>
      </c>
      <c r="AH12">
        <v>2026</v>
      </c>
      <c r="AI12">
        <v>145.24</v>
      </c>
      <c r="AJ12" t="s">
        <v>37</v>
      </c>
      <c r="AK12" t="s">
        <v>48</v>
      </c>
      <c r="AL12" t="s">
        <v>39</v>
      </c>
      <c r="AM12">
        <v>44061</v>
      </c>
      <c r="AN12" s="14" t="s">
        <v>832</v>
      </c>
      <c r="AO12" t="s">
        <v>48</v>
      </c>
      <c r="AP12">
        <v>0.1157</v>
      </c>
      <c r="AQ12">
        <v>15.73</v>
      </c>
    </row>
    <row r="13" spans="1:43" x14ac:dyDescent="0.3">
      <c r="A13">
        <v>306977633</v>
      </c>
      <c r="B13" t="s">
        <v>206</v>
      </c>
      <c r="C13" t="s">
        <v>207</v>
      </c>
      <c r="D13" t="s">
        <v>208</v>
      </c>
      <c r="E13" t="s">
        <v>117</v>
      </c>
      <c r="F13" t="s">
        <v>209</v>
      </c>
      <c r="G13" t="s">
        <v>210</v>
      </c>
      <c r="H13" t="s">
        <v>202</v>
      </c>
      <c r="I13" s="1">
        <v>44129.138657407406</v>
      </c>
      <c r="J13" s="1">
        <v>46274.430277777778</v>
      </c>
      <c r="K13" s="1">
        <v>45912.853819444441</v>
      </c>
      <c r="L13">
        <v>414</v>
      </c>
      <c r="M13">
        <v>31225</v>
      </c>
      <c r="N13">
        <v>31225</v>
      </c>
      <c r="O13">
        <v>2580</v>
      </c>
      <c r="P13">
        <v>19</v>
      </c>
      <c r="Q13" t="s">
        <v>34</v>
      </c>
      <c r="R13" t="s">
        <v>211</v>
      </c>
      <c r="S13" t="s">
        <v>169</v>
      </c>
      <c r="T13" t="s">
        <v>212</v>
      </c>
      <c r="U13" t="b">
        <v>1</v>
      </c>
      <c r="V13" t="b">
        <v>0</v>
      </c>
      <c r="W13" t="b">
        <v>0</v>
      </c>
      <c r="X13" t="b">
        <v>0</v>
      </c>
      <c r="Y13" t="b">
        <v>0</v>
      </c>
      <c r="Z13" t="b">
        <v>0</v>
      </c>
      <c r="AA13" t="b">
        <v>0</v>
      </c>
      <c r="AB13" t="s">
        <v>35</v>
      </c>
      <c r="AC13">
        <v>2151</v>
      </c>
      <c r="AD13">
        <v>5</v>
      </c>
      <c r="AE13">
        <v>367</v>
      </c>
      <c r="AF13">
        <v>2020</v>
      </c>
      <c r="AG13" t="s">
        <v>171</v>
      </c>
      <c r="AH13">
        <v>2026</v>
      </c>
      <c r="AI13">
        <v>0.4</v>
      </c>
      <c r="AJ13" t="s">
        <v>37</v>
      </c>
      <c r="AK13" t="s">
        <v>48</v>
      </c>
      <c r="AL13" t="s">
        <v>100</v>
      </c>
      <c r="AM13">
        <v>36385</v>
      </c>
      <c r="AN13" s="14" t="s">
        <v>832</v>
      </c>
      <c r="AO13" t="s">
        <v>48</v>
      </c>
      <c r="AP13">
        <v>8.2600000000000007E-2</v>
      </c>
      <c r="AQ13">
        <v>0.61</v>
      </c>
    </row>
    <row r="14" spans="1:43" x14ac:dyDescent="0.3">
      <c r="A14">
        <v>557075997</v>
      </c>
      <c r="B14" t="s">
        <v>214</v>
      </c>
      <c r="C14" t="s">
        <v>215</v>
      </c>
      <c r="D14" t="s">
        <v>216</v>
      </c>
      <c r="E14" t="s">
        <v>117</v>
      </c>
      <c r="F14" t="s">
        <v>217</v>
      </c>
      <c r="G14" t="s">
        <v>218</v>
      </c>
      <c r="H14" t="s">
        <v>33</v>
      </c>
      <c r="I14" s="1">
        <v>44859.360277777778</v>
      </c>
      <c r="J14" s="1">
        <v>46274.497118055559</v>
      </c>
      <c r="K14" s="1">
        <v>46274.240185185183</v>
      </c>
      <c r="L14">
        <v>53623</v>
      </c>
      <c r="M14">
        <v>28879</v>
      </c>
      <c r="N14">
        <v>28879</v>
      </c>
      <c r="O14">
        <v>1774</v>
      </c>
      <c r="P14">
        <v>358</v>
      </c>
      <c r="Q14" t="s">
        <v>34</v>
      </c>
      <c r="R14" t="s">
        <v>219</v>
      </c>
      <c r="S14" t="s">
        <v>122</v>
      </c>
      <c r="T14" t="s">
        <v>220</v>
      </c>
      <c r="U14" t="b">
        <v>1</v>
      </c>
      <c r="V14" t="b">
        <v>0</v>
      </c>
      <c r="W14" t="b">
        <v>0</v>
      </c>
      <c r="X14" t="b">
        <v>0</v>
      </c>
      <c r="Y14" t="b">
        <v>0</v>
      </c>
      <c r="Z14" t="b">
        <v>0</v>
      </c>
      <c r="AA14" t="b">
        <v>0</v>
      </c>
      <c r="AB14" t="s">
        <v>35</v>
      </c>
      <c r="AC14">
        <v>1420</v>
      </c>
      <c r="AD14">
        <v>5</v>
      </c>
      <c r="AE14">
        <v>5</v>
      </c>
      <c r="AF14">
        <v>2022</v>
      </c>
      <c r="AG14" t="s">
        <v>171</v>
      </c>
      <c r="AH14">
        <v>2026</v>
      </c>
      <c r="AI14">
        <v>52.37</v>
      </c>
      <c r="AJ14" t="s">
        <v>37</v>
      </c>
      <c r="AK14" t="s">
        <v>48</v>
      </c>
      <c r="AL14" t="s">
        <v>39</v>
      </c>
      <c r="AM14">
        <v>32427</v>
      </c>
      <c r="AN14" s="14" t="s">
        <v>832</v>
      </c>
      <c r="AO14" t="s">
        <v>48</v>
      </c>
      <c r="AP14">
        <v>6.1400000000000003E-2</v>
      </c>
      <c r="AQ14">
        <v>12.4</v>
      </c>
    </row>
    <row r="15" spans="1:43" x14ac:dyDescent="0.3">
      <c r="A15">
        <v>335164964</v>
      </c>
      <c r="B15" t="s">
        <v>221</v>
      </c>
      <c r="C15" t="s">
        <v>222</v>
      </c>
      <c r="D15" t="s">
        <v>221</v>
      </c>
      <c r="E15" t="s">
        <v>117</v>
      </c>
      <c r="F15" t="s">
        <v>223</v>
      </c>
      <c r="G15" t="s">
        <v>224</v>
      </c>
      <c r="H15" t="s">
        <v>225</v>
      </c>
      <c r="I15" s="1">
        <v>44229.403020833335</v>
      </c>
      <c r="J15" s="1">
        <v>46274.483113425929</v>
      </c>
      <c r="K15" s="1">
        <v>46274.459618055553</v>
      </c>
      <c r="L15">
        <v>355067</v>
      </c>
      <c r="M15">
        <v>24418</v>
      </c>
      <c r="N15">
        <v>24418</v>
      </c>
      <c r="O15">
        <v>4243</v>
      </c>
      <c r="P15">
        <v>44</v>
      </c>
      <c r="Q15" t="s">
        <v>226</v>
      </c>
      <c r="R15" t="s">
        <v>227</v>
      </c>
      <c r="S15" t="s">
        <v>138</v>
      </c>
      <c r="T15" t="s">
        <v>228</v>
      </c>
      <c r="U15" t="b">
        <v>1</v>
      </c>
      <c r="V15" t="b">
        <v>0</v>
      </c>
      <c r="W15" t="b">
        <v>0</v>
      </c>
      <c r="X15" t="b">
        <v>0</v>
      </c>
      <c r="Y15" t="b">
        <v>0</v>
      </c>
      <c r="Z15" t="b">
        <v>0</v>
      </c>
      <c r="AA15" t="b">
        <v>0</v>
      </c>
      <c r="AB15" t="s">
        <v>35</v>
      </c>
      <c r="AC15">
        <v>2050</v>
      </c>
      <c r="AD15">
        <v>5</v>
      </c>
      <c r="AE15">
        <v>5</v>
      </c>
      <c r="AF15">
        <v>2021</v>
      </c>
      <c r="AG15" t="s">
        <v>98</v>
      </c>
      <c r="AH15">
        <v>2026</v>
      </c>
      <c r="AI15">
        <v>346.75</v>
      </c>
      <c r="AJ15" t="s">
        <v>37</v>
      </c>
      <c r="AK15" t="s">
        <v>48</v>
      </c>
      <c r="AL15" t="s">
        <v>39</v>
      </c>
      <c r="AM15">
        <v>32904</v>
      </c>
      <c r="AN15" s="14" t="s">
        <v>832</v>
      </c>
      <c r="AO15" t="s">
        <v>48</v>
      </c>
      <c r="AP15">
        <v>0.17380000000000001</v>
      </c>
      <c r="AQ15">
        <v>1.8</v>
      </c>
    </row>
    <row r="16" spans="1:43" x14ac:dyDescent="0.3">
      <c r="A16">
        <v>317029148</v>
      </c>
      <c r="B16" t="s">
        <v>229</v>
      </c>
      <c r="C16" t="s">
        <v>230</v>
      </c>
      <c r="D16" t="s">
        <v>231</v>
      </c>
      <c r="E16" t="s">
        <v>134</v>
      </c>
      <c r="F16" t="s">
        <v>232</v>
      </c>
      <c r="G16" t="s">
        <v>233</v>
      </c>
      <c r="H16" t="s">
        <v>53</v>
      </c>
      <c r="I16" s="1">
        <v>44165.049722222226</v>
      </c>
      <c r="J16" s="1">
        <v>46273.962743055556</v>
      </c>
      <c r="K16" s="1">
        <v>46268.82340277778</v>
      </c>
      <c r="L16">
        <v>21391</v>
      </c>
      <c r="M16">
        <v>23793</v>
      </c>
      <c r="N16">
        <v>23793</v>
      </c>
      <c r="O16">
        <v>3150</v>
      </c>
      <c r="P16">
        <v>57</v>
      </c>
      <c r="Q16" t="s">
        <v>34</v>
      </c>
      <c r="R16" t="s">
        <v>234</v>
      </c>
      <c r="S16" t="s">
        <v>235</v>
      </c>
      <c r="T16" t="s">
        <v>236</v>
      </c>
      <c r="U16" t="b">
        <v>1</v>
      </c>
      <c r="V16" t="b">
        <v>0</v>
      </c>
      <c r="W16" t="b">
        <v>0</v>
      </c>
      <c r="X16" t="b">
        <v>0</v>
      </c>
      <c r="Y16" t="b">
        <v>0</v>
      </c>
      <c r="Z16" t="b">
        <v>0</v>
      </c>
      <c r="AA16" t="b">
        <v>0</v>
      </c>
      <c r="AB16" t="s">
        <v>35</v>
      </c>
      <c r="AC16">
        <v>2115</v>
      </c>
      <c r="AD16">
        <v>6</v>
      </c>
      <c r="AE16">
        <v>11</v>
      </c>
      <c r="AF16">
        <v>2020</v>
      </c>
      <c r="AG16" t="s">
        <v>205</v>
      </c>
      <c r="AH16">
        <v>2026</v>
      </c>
      <c r="AI16">
        <v>20.89</v>
      </c>
      <c r="AJ16" t="s">
        <v>37</v>
      </c>
      <c r="AK16" t="s">
        <v>48</v>
      </c>
      <c r="AL16" t="s">
        <v>39</v>
      </c>
      <c r="AM16">
        <v>30093</v>
      </c>
      <c r="AN16" s="14" t="s">
        <v>832</v>
      </c>
      <c r="AO16" t="s">
        <v>48</v>
      </c>
      <c r="AP16">
        <v>0.13239999999999999</v>
      </c>
      <c r="AQ16">
        <v>2.4</v>
      </c>
    </row>
    <row r="17" spans="1:43" x14ac:dyDescent="0.3">
      <c r="A17">
        <v>631258918</v>
      </c>
      <c r="B17" t="s">
        <v>237</v>
      </c>
      <c r="C17" t="s">
        <v>238</v>
      </c>
      <c r="D17" t="s">
        <v>239</v>
      </c>
      <c r="E17" t="s">
        <v>117</v>
      </c>
      <c r="F17" t="s">
        <v>240</v>
      </c>
      <c r="G17" t="s">
        <v>241</v>
      </c>
      <c r="H17" t="s">
        <v>33</v>
      </c>
      <c r="I17" s="1">
        <v>45038.769456018519</v>
      </c>
      <c r="J17" s="1">
        <v>46274.334849537037</v>
      </c>
      <c r="K17" s="1">
        <v>45958.647372685184</v>
      </c>
      <c r="L17">
        <v>57432</v>
      </c>
      <c r="M17">
        <v>23791</v>
      </c>
      <c r="N17">
        <v>23791</v>
      </c>
      <c r="O17">
        <v>2342</v>
      </c>
      <c r="P17">
        <v>22</v>
      </c>
      <c r="Q17" t="s">
        <v>34</v>
      </c>
      <c r="R17" t="s">
        <v>242</v>
      </c>
      <c r="S17" t="s">
        <v>154</v>
      </c>
      <c r="T17" t="s">
        <v>243</v>
      </c>
      <c r="U17" t="b">
        <v>1</v>
      </c>
      <c r="V17" t="b">
        <v>1</v>
      </c>
      <c r="W17" t="b">
        <v>1</v>
      </c>
      <c r="X17" t="b">
        <v>0</v>
      </c>
      <c r="Y17" t="b">
        <v>0</v>
      </c>
      <c r="Z17" t="b">
        <v>0</v>
      </c>
      <c r="AA17" t="b">
        <v>0</v>
      </c>
      <c r="AB17" t="s">
        <v>35</v>
      </c>
      <c r="AC17">
        <v>1241</v>
      </c>
      <c r="AD17">
        <v>5</v>
      </c>
      <c r="AE17">
        <v>321</v>
      </c>
      <c r="AF17">
        <v>2023</v>
      </c>
      <c r="AG17" t="s">
        <v>140</v>
      </c>
      <c r="AH17">
        <v>2026</v>
      </c>
      <c r="AI17">
        <v>56.09</v>
      </c>
      <c r="AJ17" t="s">
        <v>37</v>
      </c>
      <c r="AK17" t="s">
        <v>48</v>
      </c>
      <c r="AL17" t="s">
        <v>213</v>
      </c>
      <c r="AM17">
        <v>28475</v>
      </c>
      <c r="AN17" s="14" t="s">
        <v>832</v>
      </c>
      <c r="AO17" t="s">
        <v>48</v>
      </c>
      <c r="AP17">
        <v>9.8400000000000001E-2</v>
      </c>
      <c r="AQ17">
        <v>0.92</v>
      </c>
    </row>
    <row r="18" spans="1:43" x14ac:dyDescent="0.3">
      <c r="A18">
        <v>212037775</v>
      </c>
      <c r="B18" t="s">
        <v>244</v>
      </c>
      <c r="C18" t="s">
        <v>245</v>
      </c>
      <c r="D18" t="s">
        <v>246</v>
      </c>
      <c r="E18" t="s">
        <v>117</v>
      </c>
      <c r="F18" t="s">
        <v>247</v>
      </c>
      <c r="G18" t="s">
        <v>248</v>
      </c>
      <c r="H18" t="s">
        <v>33</v>
      </c>
      <c r="I18" s="1">
        <v>43739.544583333336</v>
      </c>
      <c r="J18" s="1">
        <v>46274.387187499997</v>
      </c>
      <c r="K18" s="1">
        <v>46274.410405092596</v>
      </c>
      <c r="L18">
        <v>6413</v>
      </c>
      <c r="M18">
        <v>22495</v>
      </c>
      <c r="N18">
        <v>22495</v>
      </c>
      <c r="O18">
        <v>3501</v>
      </c>
      <c r="P18">
        <v>8</v>
      </c>
      <c r="Q18" t="s">
        <v>34</v>
      </c>
      <c r="R18" t="s">
        <v>249</v>
      </c>
      <c r="S18" t="s">
        <v>169</v>
      </c>
      <c r="T18" t="s">
        <v>250</v>
      </c>
      <c r="U18" t="b">
        <v>1</v>
      </c>
      <c r="V18" t="b">
        <v>1</v>
      </c>
      <c r="W18" t="b">
        <v>1</v>
      </c>
      <c r="X18" t="b">
        <v>0</v>
      </c>
      <c r="Y18" t="b">
        <v>0</v>
      </c>
      <c r="Z18" t="b">
        <v>0</v>
      </c>
      <c r="AA18" t="b">
        <v>0</v>
      </c>
      <c r="AB18" t="s">
        <v>35</v>
      </c>
      <c r="AC18">
        <v>2540</v>
      </c>
      <c r="AD18">
        <v>5</v>
      </c>
      <c r="AE18">
        <v>5</v>
      </c>
      <c r="AF18">
        <v>2019</v>
      </c>
      <c r="AG18" t="s">
        <v>171</v>
      </c>
      <c r="AH18">
        <v>2026</v>
      </c>
      <c r="AI18">
        <v>6.26</v>
      </c>
      <c r="AJ18" t="s">
        <v>37</v>
      </c>
      <c r="AK18" t="s">
        <v>48</v>
      </c>
      <c r="AL18" t="s">
        <v>39</v>
      </c>
      <c r="AM18">
        <v>29497</v>
      </c>
      <c r="AN18" s="14" t="s">
        <v>832</v>
      </c>
      <c r="AO18" t="s">
        <v>48</v>
      </c>
      <c r="AP18">
        <v>0.15559999999999999</v>
      </c>
      <c r="AQ18">
        <v>0.36</v>
      </c>
    </row>
    <row r="19" spans="1:43" x14ac:dyDescent="0.3">
      <c r="A19">
        <v>283046497</v>
      </c>
      <c r="B19" t="s">
        <v>251</v>
      </c>
      <c r="C19" t="s">
        <v>252</v>
      </c>
      <c r="D19" t="s">
        <v>253</v>
      </c>
      <c r="E19" t="s">
        <v>117</v>
      </c>
      <c r="F19" t="s">
        <v>254</v>
      </c>
      <c r="G19" t="s">
        <v>255</v>
      </c>
      <c r="H19" t="s">
        <v>33</v>
      </c>
      <c r="I19" s="1">
        <v>44040.226319444446</v>
      </c>
      <c r="J19" s="1">
        <v>46274.387881944444</v>
      </c>
      <c r="K19" s="1">
        <v>46274.423125000001</v>
      </c>
      <c r="L19">
        <v>913731</v>
      </c>
      <c r="M19">
        <v>22016</v>
      </c>
      <c r="N19">
        <v>22016</v>
      </c>
      <c r="O19">
        <v>5334</v>
      </c>
      <c r="P19">
        <v>2381</v>
      </c>
      <c r="Q19" t="s">
        <v>120</v>
      </c>
      <c r="R19" t="s">
        <v>256</v>
      </c>
      <c r="S19" t="s">
        <v>154</v>
      </c>
      <c r="T19" t="s">
        <v>257</v>
      </c>
      <c r="U19" t="b">
        <v>1</v>
      </c>
      <c r="V19" t="b">
        <v>1</v>
      </c>
      <c r="W19" t="b">
        <v>0</v>
      </c>
      <c r="X19" t="b">
        <v>0</v>
      </c>
      <c r="Y19" t="b">
        <v>0</v>
      </c>
      <c r="Z19" t="b">
        <v>0</v>
      </c>
      <c r="AA19" t="b">
        <v>0</v>
      </c>
      <c r="AB19" t="s">
        <v>35</v>
      </c>
      <c r="AC19">
        <v>2240</v>
      </c>
      <c r="AD19">
        <v>5</v>
      </c>
      <c r="AE19">
        <v>5</v>
      </c>
      <c r="AF19">
        <v>2020</v>
      </c>
      <c r="AG19" t="s">
        <v>54</v>
      </c>
      <c r="AH19">
        <v>2026</v>
      </c>
      <c r="AI19">
        <v>892.32</v>
      </c>
      <c r="AJ19" t="s">
        <v>37</v>
      </c>
      <c r="AK19" t="s">
        <v>48</v>
      </c>
      <c r="AL19" t="s">
        <v>39</v>
      </c>
      <c r="AM19">
        <v>32684</v>
      </c>
      <c r="AN19" s="14" t="s">
        <v>832</v>
      </c>
      <c r="AO19" t="s">
        <v>48</v>
      </c>
      <c r="AP19">
        <v>0.24229999999999999</v>
      </c>
      <c r="AQ19">
        <v>108.15</v>
      </c>
    </row>
    <row r="20" spans="1:43" x14ac:dyDescent="0.3">
      <c r="A20">
        <v>11397939</v>
      </c>
      <c r="B20" t="s">
        <v>258</v>
      </c>
      <c r="C20" t="s">
        <v>259</v>
      </c>
      <c r="D20" t="s">
        <v>260</v>
      </c>
      <c r="E20" t="s">
        <v>134</v>
      </c>
      <c r="F20" t="s">
        <v>261</v>
      </c>
      <c r="G20" t="s">
        <v>262</v>
      </c>
      <c r="H20" t="s">
        <v>263</v>
      </c>
      <c r="I20" s="1">
        <v>41469.383425925924</v>
      </c>
      <c r="J20" s="1">
        <v>46273.886493055557</v>
      </c>
      <c r="K20" s="1">
        <v>46268.339502314811</v>
      </c>
      <c r="L20">
        <v>10157</v>
      </c>
      <c r="M20">
        <v>20915</v>
      </c>
      <c r="N20">
        <v>20915</v>
      </c>
      <c r="O20">
        <v>1191</v>
      </c>
      <c r="P20">
        <v>449</v>
      </c>
      <c r="Q20" t="s">
        <v>120</v>
      </c>
      <c r="R20" t="s">
        <v>264</v>
      </c>
      <c r="S20" t="s">
        <v>169</v>
      </c>
      <c r="T20" t="s">
        <v>265</v>
      </c>
      <c r="U20" t="b">
        <v>1</v>
      </c>
      <c r="V20" t="b">
        <v>1</v>
      </c>
      <c r="W20" t="b">
        <v>0</v>
      </c>
      <c r="X20" t="b">
        <v>0</v>
      </c>
      <c r="Y20" t="b">
        <v>0</v>
      </c>
      <c r="Z20" t="b">
        <v>0</v>
      </c>
      <c r="AA20" t="b">
        <v>0</v>
      </c>
      <c r="AB20" t="s">
        <v>35</v>
      </c>
      <c r="AC20">
        <v>4810</v>
      </c>
      <c r="AD20">
        <v>6</v>
      </c>
      <c r="AE20">
        <v>11</v>
      </c>
      <c r="AF20">
        <v>2013</v>
      </c>
      <c r="AG20" t="s">
        <v>54</v>
      </c>
      <c r="AH20">
        <v>2026</v>
      </c>
      <c r="AI20">
        <v>9.92</v>
      </c>
      <c r="AJ20" t="s">
        <v>37</v>
      </c>
      <c r="AK20" t="s">
        <v>48</v>
      </c>
      <c r="AL20" t="s">
        <v>39</v>
      </c>
      <c r="AM20">
        <v>23297</v>
      </c>
      <c r="AN20" s="14" t="s">
        <v>832</v>
      </c>
      <c r="AO20" t="s">
        <v>48</v>
      </c>
      <c r="AP20">
        <v>5.6899999999999999E-2</v>
      </c>
      <c r="AQ20">
        <v>21.47</v>
      </c>
    </row>
    <row r="21" spans="1:43" x14ac:dyDescent="0.3">
      <c r="A21">
        <v>602389947</v>
      </c>
      <c r="B21" t="s">
        <v>266</v>
      </c>
      <c r="C21" t="s">
        <v>267</v>
      </c>
      <c r="D21" t="s">
        <v>268</v>
      </c>
      <c r="E21" t="s">
        <v>117</v>
      </c>
      <c r="F21" t="s">
        <v>269</v>
      </c>
      <c r="G21" t="s">
        <v>270</v>
      </c>
      <c r="H21" t="s">
        <v>33</v>
      </c>
      <c r="I21" s="1">
        <v>44973.449583333335</v>
      </c>
      <c r="J21" s="1">
        <v>46274.309247685182</v>
      </c>
      <c r="K21" s="1">
        <v>46271.034247685187</v>
      </c>
      <c r="L21">
        <v>75119</v>
      </c>
      <c r="M21">
        <v>15960</v>
      </c>
      <c r="N21">
        <v>15960</v>
      </c>
      <c r="O21">
        <v>887</v>
      </c>
      <c r="P21">
        <v>68</v>
      </c>
      <c r="Q21" t="s">
        <v>34</v>
      </c>
      <c r="R21" t="s">
        <v>271</v>
      </c>
      <c r="S21" t="s">
        <v>122</v>
      </c>
      <c r="T21" t="s">
        <v>272</v>
      </c>
      <c r="U21" t="b">
        <v>1</v>
      </c>
      <c r="V21" t="b">
        <v>1</v>
      </c>
      <c r="W21" t="b">
        <v>1</v>
      </c>
      <c r="X21" t="b">
        <v>1</v>
      </c>
      <c r="Y21" t="b">
        <v>0</v>
      </c>
      <c r="Z21" t="b">
        <v>0</v>
      </c>
      <c r="AA21" t="b">
        <v>0</v>
      </c>
      <c r="AB21" t="s">
        <v>35</v>
      </c>
      <c r="AC21">
        <v>1306</v>
      </c>
      <c r="AD21">
        <v>5</v>
      </c>
      <c r="AE21">
        <v>9</v>
      </c>
      <c r="AF21">
        <v>2023</v>
      </c>
      <c r="AG21" t="s">
        <v>98</v>
      </c>
      <c r="AH21">
        <v>2026</v>
      </c>
      <c r="AI21">
        <v>73.36</v>
      </c>
      <c r="AJ21" t="s">
        <v>37</v>
      </c>
      <c r="AK21" t="s">
        <v>48</v>
      </c>
      <c r="AL21" t="s">
        <v>39</v>
      </c>
      <c r="AM21">
        <v>17734</v>
      </c>
      <c r="AN21" s="14" t="s">
        <v>832</v>
      </c>
      <c r="AO21" t="s">
        <v>48</v>
      </c>
      <c r="AP21">
        <v>5.5599999999999997E-2</v>
      </c>
      <c r="AQ21">
        <v>4.26</v>
      </c>
    </row>
    <row r="22" spans="1:43" x14ac:dyDescent="0.3">
      <c r="A22">
        <v>1129718813</v>
      </c>
      <c r="B22" t="s">
        <v>273</v>
      </c>
      <c r="C22" t="s">
        <v>274</v>
      </c>
      <c r="D22" t="s">
        <v>275</v>
      </c>
      <c r="E22" t="s">
        <v>134</v>
      </c>
      <c r="F22" t="s">
        <v>276</v>
      </c>
      <c r="G22" t="s">
        <v>277</v>
      </c>
      <c r="H22" t="s">
        <v>53</v>
      </c>
      <c r="I22" s="1">
        <v>46029.799270833333</v>
      </c>
      <c r="J22" s="1">
        <v>46274.506215277775</v>
      </c>
      <c r="K22" s="1">
        <v>46262.788680555554</v>
      </c>
      <c r="L22">
        <v>601</v>
      </c>
      <c r="M22">
        <v>14206</v>
      </c>
      <c r="N22">
        <v>14206</v>
      </c>
      <c r="O22">
        <v>435</v>
      </c>
      <c r="P22">
        <v>91</v>
      </c>
      <c r="Q22" t="s">
        <v>34</v>
      </c>
      <c r="R22" t="s">
        <v>278</v>
      </c>
      <c r="S22" t="s">
        <v>279</v>
      </c>
      <c r="T22" t="s">
        <v>280</v>
      </c>
      <c r="U22" t="b">
        <v>1</v>
      </c>
      <c r="V22" t="b">
        <v>1</v>
      </c>
      <c r="W22" t="b">
        <v>0</v>
      </c>
      <c r="X22" t="b">
        <v>0</v>
      </c>
      <c r="Y22" t="b">
        <v>0</v>
      </c>
      <c r="Z22" t="b">
        <v>0</v>
      </c>
      <c r="AA22" t="b">
        <v>0</v>
      </c>
      <c r="AB22" t="s">
        <v>35</v>
      </c>
      <c r="AC22">
        <v>250</v>
      </c>
      <c r="AD22">
        <v>5</v>
      </c>
      <c r="AE22">
        <v>17</v>
      </c>
      <c r="AF22">
        <v>2026</v>
      </c>
      <c r="AG22" t="s">
        <v>281</v>
      </c>
      <c r="AH22">
        <v>2026</v>
      </c>
      <c r="AI22">
        <v>0.59</v>
      </c>
      <c r="AJ22" t="s">
        <v>37</v>
      </c>
      <c r="AK22" t="s">
        <v>48</v>
      </c>
      <c r="AL22" t="s">
        <v>39</v>
      </c>
      <c r="AM22">
        <v>15076</v>
      </c>
      <c r="AN22" s="14" t="s">
        <v>832</v>
      </c>
      <c r="AO22" t="s">
        <v>38</v>
      </c>
      <c r="AP22">
        <v>3.0599999999999999E-2</v>
      </c>
      <c r="AQ22">
        <v>6.41</v>
      </c>
    </row>
    <row r="23" spans="1:43" x14ac:dyDescent="0.3">
      <c r="A23">
        <v>49346299</v>
      </c>
      <c r="B23" t="s">
        <v>282</v>
      </c>
      <c r="C23" t="s">
        <v>283</v>
      </c>
      <c r="D23" t="s">
        <v>284</v>
      </c>
      <c r="E23" t="s">
        <v>117</v>
      </c>
      <c r="F23" t="s">
        <v>285</v>
      </c>
      <c r="G23" t="s">
        <v>286</v>
      </c>
      <c r="H23" t="s">
        <v>33</v>
      </c>
      <c r="I23" s="1">
        <v>42379.220775462964</v>
      </c>
      <c r="J23" s="1">
        <v>46274.349293981482</v>
      </c>
      <c r="K23" s="1">
        <v>46135.206006944441</v>
      </c>
      <c r="L23">
        <v>919827</v>
      </c>
      <c r="M23">
        <v>13689</v>
      </c>
      <c r="N23">
        <v>13689</v>
      </c>
      <c r="O23">
        <v>1795</v>
      </c>
      <c r="P23">
        <v>327</v>
      </c>
      <c r="Q23" t="s">
        <v>160</v>
      </c>
      <c r="R23" t="s">
        <v>287</v>
      </c>
      <c r="S23" t="s">
        <v>169</v>
      </c>
      <c r="T23" t="s">
        <v>288</v>
      </c>
      <c r="U23" t="b">
        <v>1</v>
      </c>
      <c r="V23" t="b">
        <v>1</v>
      </c>
      <c r="W23" t="b">
        <v>1</v>
      </c>
      <c r="X23" t="b">
        <v>1</v>
      </c>
      <c r="Y23" t="b">
        <v>0</v>
      </c>
      <c r="Z23" t="b">
        <v>0</v>
      </c>
      <c r="AA23" t="b">
        <v>0</v>
      </c>
      <c r="AB23" t="s">
        <v>35</v>
      </c>
      <c r="AC23">
        <v>3901</v>
      </c>
      <c r="AD23">
        <v>5</v>
      </c>
      <c r="AE23">
        <v>145</v>
      </c>
      <c r="AF23">
        <v>2016</v>
      </c>
      <c r="AG23" t="s">
        <v>281</v>
      </c>
      <c r="AH23">
        <v>2026</v>
      </c>
      <c r="AI23">
        <v>898.27</v>
      </c>
      <c r="AJ23" t="s">
        <v>37</v>
      </c>
      <c r="AK23" t="s">
        <v>48</v>
      </c>
      <c r="AL23" t="s">
        <v>39</v>
      </c>
      <c r="AM23">
        <v>17279</v>
      </c>
      <c r="AN23" s="14" t="s">
        <v>832</v>
      </c>
      <c r="AO23" t="s">
        <v>48</v>
      </c>
      <c r="AP23">
        <v>0.13109999999999999</v>
      </c>
      <c r="AQ23">
        <v>23.89</v>
      </c>
    </row>
    <row r="24" spans="1:43" x14ac:dyDescent="0.3">
      <c r="A24">
        <v>236637683</v>
      </c>
      <c r="B24" t="s">
        <v>289</v>
      </c>
      <c r="C24" t="s">
        <v>290</v>
      </c>
      <c r="D24" t="s">
        <v>291</v>
      </c>
      <c r="E24" t="s">
        <v>134</v>
      </c>
      <c r="F24" t="s">
        <v>292</v>
      </c>
      <c r="G24" t="s">
        <v>293</v>
      </c>
      <c r="H24" t="s">
        <v>53</v>
      </c>
      <c r="I24" s="1">
        <v>43858.30909722222</v>
      </c>
      <c r="J24" s="1">
        <v>46274.418506944443</v>
      </c>
      <c r="K24" s="1">
        <v>45445.428240740737</v>
      </c>
      <c r="L24">
        <v>1335</v>
      </c>
      <c r="M24">
        <v>13325</v>
      </c>
      <c r="N24">
        <v>13325</v>
      </c>
      <c r="O24">
        <v>2672</v>
      </c>
      <c r="P24">
        <v>20</v>
      </c>
      <c r="Q24" t="s">
        <v>120</v>
      </c>
      <c r="R24" t="s">
        <v>294</v>
      </c>
      <c r="S24" t="s">
        <v>279</v>
      </c>
      <c r="T24" t="s">
        <v>195</v>
      </c>
      <c r="U24" t="b">
        <v>0</v>
      </c>
      <c r="V24" t="b">
        <v>1</v>
      </c>
      <c r="W24" t="b">
        <v>1</v>
      </c>
      <c r="X24" t="b">
        <v>0</v>
      </c>
      <c r="Y24" t="b">
        <v>0</v>
      </c>
      <c r="Z24" t="b">
        <v>0</v>
      </c>
      <c r="AA24" t="b">
        <v>0</v>
      </c>
      <c r="AB24" t="s">
        <v>35</v>
      </c>
      <c r="AC24">
        <v>2421</v>
      </c>
      <c r="AD24">
        <v>5</v>
      </c>
      <c r="AE24">
        <v>834</v>
      </c>
      <c r="AF24">
        <v>2020</v>
      </c>
      <c r="AG24" t="s">
        <v>281</v>
      </c>
      <c r="AH24">
        <v>2026</v>
      </c>
      <c r="AI24">
        <v>1.3</v>
      </c>
      <c r="AJ24" t="s">
        <v>37</v>
      </c>
      <c r="AK24" t="s">
        <v>48</v>
      </c>
      <c r="AL24" t="s">
        <v>100</v>
      </c>
      <c r="AM24">
        <v>18669</v>
      </c>
      <c r="AN24" s="14" t="s">
        <v>832</v>
      </c>
      <c r="AO24" t="s">
        <v>38</v>
      </c>
      <c r="AP24">
        <v>0.20050000000000001</v>
      </c>
      <c r="AQ24">
        <v>1.5</v>
      </c>
    </row>
    <row r="25" spans="1:43" x14ac:dyDescent="0.3">
      <c r="A25">
        <v>6220644</v>
      </c>
      <c r="B25" t="s">
        <v>295</v>
      </c>
      <c r="C25" t="s">
        <v>296</v>
      </c>
      <c r="D25" t="s">
        <v>295</v>
      </c>
      <c r="E25" t="s">
        <v>117</v>
      </c>
      <c r="F25" t="s">
        <v>297</v>
      </c>
      <c r="G25" t="s">
        <v>298</v>
      </c>
      <c r="H25" t="s">
        <v>225</v>
      </c>
      <c r="I25" s="1">
        <v>41197.328333333331</v>
      </c>
      <c r="J25" s="1">
        <v>46274.478483796294</v>
      </c>
      <c r="K25" s="1">
        <v>46274.478368055556</v>
      </c>
      <c r="L25">
        <v>407640</v>
      </c>
      <c r="M25">
        <v>11990</v>
      </c>
      <c r="N25">
        <v>11990</v>
      </c>
      <c r="O25">
        <v>2166</v>
      </c>
      <c r="P25">
        <v>728</v>
      </c>
      <c r="Q25" t="s">
        <v>120</v>
      </c>
      <c r="R25" t="s">
        <v>299</v>
      </c>
      <c r="S25" t="s">
        <v>129</v>
      </c>
      <c r="T25" t="s">
        <v>300</v>
      </c>
      <c r="U25" t="b">
        <v>1</v>
      </c>
      <c r="V25" t="b">
        <v>1</v>
      </c>
      <c r="W25" t="b">
        <v>1</v>
      </c>
      <c r="X25" t="b">
        <v>0</v>
      </c>
      <c r="Y25" t="b">
        <v>0</v>
      </c>
      <c r="Z25" t="b">
        <v>0</v>
      </c>
      <c r="AA25" t="b">
        <v>0</v>
      </c>
      <c r="AB25" t="s">
        <v>35</v>
      </c>
      <c r="AC25">
        <v>5082</v>
      </c>
      <c r="AD25">
        <v>5</v>
      </c>
      <c r="AE25">
        <v>5</v>
      </c>
      <c r="AF25">
        <v>2012</v>
      </c>
      <c r="AG25" t="s">
        <v>171</v>
      </c>
      <c r="AH25">
        <v>2026</v>
      </c>
      <c r="AI25">
        <v>398.09</v>
      </c>
      <c r="AJ25" t="s">
        <v>37</v>
      </c>
      <c r="AK25" t="s">
        <v>48</v>
      </c>
      <c r="AL25" t="s">
        <v>39</v>
      </c>
      <c r="AM25">
        <v>16322</v>
      </c>
      <c r="AN25" s="14" t="s">
        <v>832</v>
      </c>
      <c r="AO25" t="s">
        <v>48</v>
      </c>
      <c r="AP25">
        <v>0.1807</v>
      </c>
      <c r="AQ25">
        <v>60.72</v>
      </c>
    </row>
    <row r="26" spans="1:43" x14ac:dyDescent="0.3">
      <c r="A26">
        <v>1885237</v>
      </c>
      <c r="B26" t="s">
        <v>301</v>
      </c>
      <c r="C26" t="s">
        <v>302</v>
      </c>
      <c r="D26" t="s">
        <v>301</v>
      </c>
      <c r="E26" t="s">
        <v>117</v>
      </c>
      <c r="F26" t="s">
        <v>303</v>
      </c>
      <c r="G26" t="s">
        <v>304</v>
      </c>
      <c r="H26" t="s">
        <v>33</v>
      </c>
      <c r="I26" s="1">
        <v>40706.94085648148</v>
      </c>
      <c r="J26" s="1">
        <v>46274.45516203704</v>
      </c>
      <c r="K26" s="1">
        <v>46274.454791666663</v>
      </c>
      <c r="L26">
        <v>68632</v>
      </c>
      <c r="M26">
        <v>11615</v>
      </c>
      <c r="N26">
        <v>11615</v>
      </c>
      <c r="O26">
        <v>3579</v>
      </c>
      <c r="P26">
        <v>2804</v>
      </c>
      <c r="Q26" t="s">
        <v>34</v>
      </c>
      <c r="R26" t="s">
        <v>305</v>
      </c>
      <c r="S26" t="s">
        <v>129</v>
      </c>
      <c r="T26" t="s">
        <v>306</v>
      </c>
      <c r="U26" t="b">
        <v>1</v>
      </c>
      <c r="V26" t="b">
        <v>1</v>
      </c>
      <c r="W26" t="b">
        <v>1</v>
      </c>
      <c r="X26" t="b">
        <v>0</v>
      </c>
      <c r="Y26" t="b">
        <v>0</v>
      </c>
      <c r="Z26" t="b">
        <v>0</v>
      </c>
      <c r="AA26" t="b">
        <v>0</v>
      </c>
      <c r="AB26" t="s">
        <v>35</v>
      </c>
      <c r="AC26">
        <v>5573</v>
      </c>
      <c r="AD26">
        <v>5</v>
      </c>
      <c r="AE26">
        <v>5</v>
      </c>
      <c r="AF26">
        <v>2011</v>
      </c>
      <c r="AG26" t="s">
        <v>307</v>
      </c>
      <c r="AH26">
        <v>2026</v>
      </c>
      <c r="AI26">
        <v>67.02</v>
      </c>
      <c r="AJ26" t="s">
        <v>37</v>
      </c>
      <c r="AK26" t="s">
        <v>48</v>
      </c>
      <c r="AL26" t="s">
        <v>39</v>
      </c>
      <c r="AM26">
        <v>18773</v>
      </c>
      <c r="AN26" s="14" t="s">
        <v>832</v>
      </c>
      <c r="AO26" t="s">
        <v>48</v>
      </c>
      <c r="AP26">
        <v>0.30809999999999998</v>
      </c>
      <c r="AQ26">
        <v>241.41</v>
      </c>
    </row>
    <row r="27" spans="1:43" x14ac:dyDescent="0.3">
      <c r="A27">
        <v>83286964</v>
      </c>
      <c r="B27" t="s">
        <v>308</v>
      </c>
      <c r="C27" t="s">
        <v>309</v>
      </c>
      <c r="D27" t="s">
        <v>310</v>
      </c>
      <c r="E27" t="s">
        <v>134</v>
      </c>
      <c r="F27" t="s">
        <v>311</v>
      </c>
      <c r="G27" t="s">
        <v>312</v>
      </c>
      <c r="H27" t="s">
        <v>33</v>
      </c>
      <c r="I27" s="1">
        <v>42793.584953703707</v>
      </c>
      <c r="J27" s="1">
        <v>46274.287523148145</v>
      </c>
      <c r="K27" s="1">
        <v>46268.569456018522</v>
      </c>
      <c r="L27">
        <v>668238</v>
      </c>
      <c r="M27">
        <v>10703</v>
      </c>
      <c r="N27">
        <v>10703</v>
      </c>
      <c r="O27">
        <v>5696</v>
      </c>
      <c r="P27">
        <v>0</v>
      </c>
      <c r="Q27" t="s">
        <v>34</v>
      </c>
      <c r="R27" t="s">
        <v>313</v>
      </c>
      <c r="S27" t="s">
        <v>154</v>
      </c>
      <c r="T27" t="s">
        <v>314</v>
      </c>
      <c r="U27" t="b">
        <v>1</v>
      </c>
      <c r="V27" t="b">
        <v>0</v>
      </c>
      <c r="W27" t="b">
        <v>1</v>
      </c>
      <c r="X27" t="b">
        <v>1</v>
      </c>
      <c r="Y27" t="b">
        <v>0</v>
      </c>
      <c r="Z27" t="b">
        <v>0</v>
      </c>
      <c r="AA27" t="b">
        <v>0</v>
      </c>
      <c r="AB27" t="s">
        <v>35</v>
      </c>
      <c r="AC27">
        <v>3486</v>
      </c>
      <c r="AD27">
        <v>5</v>
      </c>
      <c r="AE27">
        <v>11</v>
      </c>
      <c r="AF27">
        <v>2017</v>
      </c>
      <c r="AG27" t="s">
        <v>98</v>
      </c>
      <c r="AH27">
        <v>2026</v>
      </c>
      <c r="AI27">
        <v>652.58000000000004</v>
      </c>
      <c r="AJ27" t="s">
        <v>37</v>
      </c>
      <c r="AK27" t="s">
        <v>48</v>
      </c>
      <c r="AL27" t="s">
        <v>39</v>
      </c>
      <c r="AM27">
        <v>22095</v>
      </c>
      <c r="AN27" s="14" t="s">
        <v>832</v>
      </c>
      <c r="AO27" t="s">
        <v>48</v>
      </c>
      <c r="AP27">
        <v>0.53220000000000001</v>
      </c>
      <c r="AQ27">
        <v>0</v>
      </c>
    </row>
    <row r="28" spans="1:43" x14ac:dyDescent="0.3">
      <c r="A28">
        <v>90506918</v>
      </c>
      <c r="B28" t="s">
        <v>315</v>
      </c>
      <c r="C28" t="s">
        <v>316</v>
      </c>
      <c r="D28" t="s">
        <v>317</v>
      </c>
      <c r="E28" t="s">
        <v>117</v>
      </c>
      <c r="F28" t="s">
        <v>318</v>
      </c>
      <c r="G28" t="s">
        <v>319</v>
      </c>
      <c r="H28" t="s">
        <v>320</v>
      </c>
      <c r="I28" s="1">
        <v>42862.384456018517</v>
      </c>
      <c r="J28" s="1">
        <v>46274.435069444444</v>
      </c>
      <c r="K28" s="1">
        <v>46274.513043981482</v>
      </c>
      <c r="L28">
        <v>220383</v>
      </c>
      <c r="M28">
        <v>9749</v>
      </c>
      <c r="N28">
        <v>9749</v>
      </c>
      <c r="O28">
        <v>1102</v>
      </c>
      <c r="P28">
        <v>1326</v>
      </c>
      <c r="Q28" t="s">
        <v>34</v>
      </c>
      <c r="R28" t="s">
        <v>321</v>
      </c>
      <c r="S28" t="s">
        <v>122</v>
      </c>
      <c r="T28" t="s">
        <v>322</v>
      </c>
      <c r="U28" t="b">
        <v>1</v>
      </c>
      <c r="V28" t="b">
        <v>1</v>
      </c>
      <c r="W28" t="b">
        <v>0</v>
      </c>
      <c r="X28" t="b">
        <v>0</v>
      </c>
      <c r="Y28" t="b">
        <v>0</v>
      </c>
      <c r="Z28" t="b">
        <v>0</v>
      </c>
      <c r="AA28" t="b">
        <v>0</v>
      </c>
      <c r="AB28" t="s">
        <v>35</v>
      </c>
      <c r="AC28">
        <v>3417</v>
      </c>
      <c r="AD28">
        <v>5</v>
      </c>
      <c r="AE28">
        <v>5</v>
      </c>
      <c r="AF28">
        <v>2017</v>
      </c>
      <c r="AG28" t="s">
        <v>323</v>
      </c>
      <c r="AH28">
        <v>2026</v>
      </c>
      <c r="AI28">
        <v>215.22</v>
      </c>
      <c r="AJ28" t="s">
        <v>37</v>
      </c>
      <c r="AK28" t="s">
        <v>48</v>
      </c>
      <c r="AL28" t="s">
        <v>39</v>
      </c>
      <c r="AM28">
        <v>11953</v>
      </c>
      <c r="AN28" s="14" t="s">
        <v>832</v>
      </c>
      <c r="AO28" t="s">
        <v>48</v>
      </c>
      <c r="AP28">
        <v>0.113</v>
      </c>
      <c r="AQ28">
        <v>136.01</v>
      </c>
    </row>
    <row r="29" spans="1:43" x14ac:dyDescent="0.3">
      <c r="A29">
        <v>86164982</v>
      </c>
      <c r="B29" t="s">
        <v>324</v>
      </c>
      <c r="C29" t="s">
        <v>325</v>
      </c>
      <c r="D29" t="s">
        <v>324</v>
      </c>
      <c r="E29" t="s">
        <v>117</v>
      </c>
      <c r="F29" t="s">
        <v>326</v>
      </c>
      <c r="G29" t="s">
        <v>327</v>
      </c>
      <c r="H29" t="s">
        <v>328</v>
      </c>
      <c r="I29" s="1">
        <v>42819.850439814814</v>
      </c>
      <c r="J29" s="1">
        <v>46272.726053240738</v>
      </c>
      <c r="K29" s="1">
        <v>46265.169849537036</v>
      </c>
      <c r="L29">
        <v>17673</v>
      </c>
      <c r="M29">
        <v>8426</v>
      </c>
      <c r="N29">
        <v>8426</v>
      </c>
      <c r="O29">
        <v>580</v>
      </c>
      <c r="P29">
        <v>262</v>
      </c>
      <c r="Q29" t="s">
        <v>120</v>
      </c>
      <c r="R29" t="s">
        <v>329</v>
      </c>
      <c r="S29" t="s">
        <v>129</v>
      </c>
      <c r="T29" t="s">
        <v>330</v>
      </c>
      <c r="U29" t="b">
        <v>1</v>
      </c>
      <c r="V29" t="b">
        <v>1</v>
      </c>
      <c r="W29" t="b">
        <v>1</v>
      </c>
      <c r="X29" t="b">
        <v>0</v>
      </c>
      <c r="Y29" t="b">
        <v>0</v>
      </c>
      <c r="Z29" t="b">
        <v>0</v>
      </c>
      <c r="AA29" t="b">
        <v>0</v>
      </c>
      <c r="AB29" t="s">
        <v>35</v>
      </c>
      <c r="AC29">
        <v>3460</v>
      </c>
      <c r="AD29">
        <v>7</v>
      </c>
      <c r="AE29">
        <v>15</v>
      </c>
      <c r="AF29">
        <v>2017</v>
      </c>
      <c r="AG29" t="s">
        <v>196</v>
      </c>
      <c r="AH29">
        <v>2026</v>
      </c>
      <c r="AI29">
        <v>17.260000000000002</v>
      </c>
      <c r="AJ29" t="s">
        <v>37</v>
      </c>
      <c r="AK29" t="s">
        <v>48</v>
      </c>
      <c r="AL29" t="s">
        <v>39</v>
      </c>
      <c r="AM29">
        <v>9586</v>
      </c>
      <c r="AN29" s="14" t="s">
        <v>832</v>
      </c>
      <c r="AO29" t="s">
        <v>48</v>
      </c>
      <c r="AP29">
        <v>6.88E-2</v>
      </c>
      <c r="AQ29">
        <v>31.09</v>
      </c>
    </row>
    <row r="30" spans="1:43" x14ac:dyDescent="0.3">
      <c r="A30">
        <v>226096934</v>
      </c>
      <c r="B30" t="s">
        <v>331</v>
      </c>
      <c r="C30" t="s">
        <v>332</v>
      </c>
      <c r="D30" t="s">
        <v>333</v>
      </c>
      <c r="E30" t="s">
        <v>117</v>
      </c>
      <c r="F30" t="s">
        <v>334</v>
      </c>
      <c r="G30" t="s">
        <v>335</v>
      </c>
      <c r="H30" t="s">
        <v>225</v>
      </c>
      <c r="I30" s="1">
        <v>43804.747210648151</v>
      </c>
      <c r="J30" s="1">
        <v>46274.518634259257</v>
      </c>
      <c r="K30" s="1">
        <v>46273.729409722226</v>
      </c>
      <c r="L30">
        <v>105769</v>
      </c>
      <c r="M30">
        <v>8402</v>
      </c>
      <c r="N30">
        <v>8402</v>
      </c>
      <c r="O30">
        <v>1879</v>
      </c>
      <c r="P30">
        <v>28</v>
      </c>
      <c r="Q30" t="s">
        <v>120</v>
      </c>
      <c r="R30" t="s">
        <v>336</v>
      </c>
      <c r="S30" t="s">
        <v>138</v>
      </c>
      <c r="T30" t="s">
        <v>337</v>
      </c>
      <c r="U30" t="b">
        <v>1</v>
      </c>
      <c r="V30" t="b">
        <v>1</v>
      </c>
      <c r="W30" t="b">
        <v>1</v>
      </c>
      <c r="X30" t="b">
        <v>0</v>
      </c>
      <c r="Y30" t="b">
        <v>0</v>
      </c>
      <c r="Z30" t="b">
        <v>0</v>
      </c>
      <c r="AA30" t="b">
        <v>0</v>
      </c>
      <c r="AB30" t="s">
        <v>35</v>
      </c>
      <c r="AC30">
        <v>2475</v>
      </c>
      <c r="AD30">
        <v>5</v>
      </c>
      <c r="AE30">
        <v>6</v>
      </c>
      <c r="AF30">
        <v>2019</v>
      </c>
      <c r="AG30" t="s">
        <v>179</v>
      </c>
      <c r="AH30">
        <v>2026</v>
      </c>
      <c r="AI30">
        <v>103.29</v>
      </c>
      <c r="AJ30" t="s">
        <v>37</v>
      </c>
      <c r="AK30" t="s">
        <v>48</v>
      </c>
      <c r="AL30" t="s">
        <v>39</v>
      </c>
      <c r="AM30">
        <v>12160</v>
      </c>
      <c r="AN30" s="14" t="s">
        <v>832</v>
      </c>
      <c r="AO30" t="s">
        <v>48</v>
      </c>
      <c r="AP30">
        <v>0.22359999999999999</v>
      </c>
      <c r="AQ30">
        <v>3.33</v>
      </c>
    </row>
    <row r="31" spans="1:43" x14ac:dyDescent="0.3">
      <c r="A31">
        <v>365373172</v>
      </c>
      <c r="B31" t="s">
        <v>338</v>
      </c>
      <c r="C31" t="s">
        <v>339</v>
      </c>
      <c r="D31" t="s">
        <v>338</v>
      </c>
      <c r="E31" t="s">
        <v>117</v>
      </c>
      <c r="F31" t="s">
        <v>340</v>
      </c>
      <c r="G31" t="s">
        <v>341</v>
      </c>
      <c r="H31" t="s">
        <v>342</v>
      </c>
      <c r="I31" s="1">
        <v>44324.195729166669</v>
      </c>
      <c r="J31" s="1">
        <v>46274.416250000002</v>
      </c>
      <c r="K31" s="1">
        <v>46274.521516203706</v>
      </c>
      <c r="L31">
        <v>272201</v>
      </c>
      <c r="M31">
        <v>8331</v>
      </c>
      <c r="N31">
        <v>8331</v>
      </c>
      <c r="O31">
        <v>840</v>
      </c>
      <c r="P31">
        <v>806</v>
      </c>
      <c r="Q31" t="s">
        <v>34</v>
      </c>
      <c r="R31" t="s">
        <v>343</v>
      </c>
      <c r="S31" t="s">
        <v>154</v>
      </c>
      <c r="T31" t="s">
        <v>344</v>
      </c>
      <c r="U31" t="b">
        <v>1</v>
      </c>
      <c r="V31" t="b">
        <v>1</v>
      </c>
      <c r="W31" t="b">
        <v>1</v>
      </c>
      <c r="X31" t="b">
        <v>1</v>
      </c>
      <c r="Y31" t="b">
        <v>0</v>
      </c>
      <c r="Z31" t="b">
        <v>0</v>
      </c>
      <c r="AA31" t="b">
        <v>0</v>
      </c>
      <c r="AB31" t="s">
        <v>35</v>
      </c>
      <c r="AC31">
        <v>1956</v>
      </c>
      <c r="AD31">
        <v>5</v>
      </c>
      <c r="AE31">
        <v>5</v>
      </c>
      <c r="AF31">
        <v>2021</v>
      </c>
      <c r="AG31" t="s">
        <v>323</v>
      </c>
      <c r="AH31">
        <v>2026</v>
      </c>
      <c r="AI31">
        <v>265.82</v>
      </c>
      <c r="AJ31" t="s">
        <v>37</v>
      </c>
      <c r="AK31" t="s">
        <v>48</v>
      </c>
      <c r="AL31" t="s">
        <v>39</v>
      </c>
      <c r="AM31">
        <v>10011</v>
      </c>
      <c r="AN31" s="14" t="s">
        <v>832</v>
      </c>
      <c r="AO31" t="s">
        <v>48</v>
      </c>
      <c r="AP31">
        <v>0.1008</v>
      </c>
      <c r="AQ31">
        <v>96.75</v>
      </c>
    </row>
    <row r="32" spans="1:43" x14ac:dyDescent="0.3">
      <c r="A32">
        <v>216628419</v>
      </c>
      <c r="B32" t="s">
        <v>345</v>
      </c>
      <c r="C32" t="s">
        <v>346</v>
      </c>
      <c r="D32" t="s">
        <v>347</v>
      </c>
      <c r="E32" t="s">
        <v>117</v>
      </c>
      <c r="F32" t="s">
        <v>348</v>
      </c>
      <c r="G32" t="s">
        <v>349</v>
      </c>
      <c r="H32" t="s">
        <v>328</v>
      </c>
      <c r="I32" s="1">
        <v>43759.965324074074</v>
      </c>
      <c r="J32" s="1">
        <v>46274.491053240738</v>
      </c>
      <c r="K32" s="1">
        <v>46273.991793981484</v>
      </c>
      <c r="L32">
        <v>389408</v>
      </c>
      <c r="M32">
        <v>7426</v>
      </c>
      <c r="N32">
        <v>7426</v>
      </c>
      <c r="O32">
        <v>883</v>
      </c>
      <c r="P32">
        <v>181</v>
      </c>
      <c r="Q32" t="s">
        <v>34</v>
      </c>
      <c r="R32" t="s">
        <v>350</v>
      </c>
      <c r="S32" t="s">
        <v>122</v>
      </c>
      <c r="T32" t="s">
        <v>351</v>
      </c>
      <c r="U32" t="b">
        <v>1</v>
      </c>
      <c r="V32" t="b">
        <v>1</v>
      </c>
      <c r="W32" t="b">
        <v>0</v>
      </c>
      <c r="X32" t="b">
        <v>1</v>
      </c>
      <c r="Y32" t="b">
        <v>0</v>
      </c>
      <c r="Z32" t="b">
        <v>0</v>
      </c>
      <c r="AA32" t="b">
        <v>0</v>
      </c>
      <c r="AB32" t="s">
        <v>35</v>
      </c>
      <c r="AC32">
        <v>2520</v>
      </c>
      <c r="AD32">
        <v>5</v>
      </c>
      <c r="AE32">
        <v>6</v>
      </c>
      <c r="AF32">
        <v>2019</v>
      </c>
      <c r="AG32" t="s">
        <v>171</v>
      </c>
      <c r="AH32">
        <v>2026</v>
      </c>
      <c r="AI32">
        <v>380.28</v>
      </c>
      <c r="AJ32" t="s">
        <v>37</v>
      </c>
      <c r="AK32" t="s">
        <v>48</v>
      </c>
      <c r="AL32" t="s">
        <v>39</v>
      </c>
      <c r="AM32">
        <v>9192</v>
      </c>
      <c r="AN32" s="14" t="s">
        <v>832</v>
      </c>
      <c r="AO32" t="s">
        <v>48</v>
      </c>
      <c r="AP32">
        <v>0.11890000000000001</v>
      </c>
      <c r="AQ32">
        <v>24.37</v>
      </c>
    </row>
    <row r="33" spans="1:43" x14ac:dyDescent="0.3">
      <c r="A33">
        <v>1104370536</v>
      </c>
      <c r="B33" t="s">
        <v>352</v>
      </c>
      <c r="C33" t="s">
        <v>353</v>
      </c>
      <c r="D33" t="s">
        <v>352</v>
      </c>
      <c r="E33" t="s">
        <v>117</v>
      </c>
      <c r="F33" t="s">
        <v>354</v>
      </c>
      <c r="G33" t="s">
        <v>355</v>
      </c>
      <c r="H33" t="s">
        <v>342</v>
      </c>
      <c r="I33" s="1">
        <v>45987.475300925929</v>
      </c>
      <c r="J33" s="1">
        <v>46274.361145833333</v>
      </c>
      <c r="K33" s="1">
        <v>46273.561701388891</v>
      </c>
      <c r="L33">
        <v>19105</v>
      </c>
      <c r="M33">
        <v>7331</v>
      </c>
      <c r="N33">
        <v>7331</v>
      </c>
      <c r="O33">
        <v>1510</v>
      </c>
      <c r="P33">
        <v>14</v>
      </c>
      <c r="Q33" t="s">
        <v>34</v>
      </c>
      <c r="R33" t="s">
        <v>356</v>
      </c>
      <c r="S33" t="s">
        <v>357</v>
      </c>
      <c r="T33" t="s">
        <v>358</v>
      </c>
      <c r="U33" t="b">
        <v>1</v>
      </c>
      <c r="V33" t="b">
        <v>1</v>
      </c>
      <c r="W33" t="b">
        <v>0</v>
      </c>
      <c r="X33" t="b">
        <v>0</v>
      </c>
      <c r="Y33" t="b">
        <v>0</v>
      </c>
      <c r="Z33" t="b">
        <v>0</v>
      </c>
      <c r="AA33" t="b">
        <v>0</v>
      </c>
      <c r="AB33" t="s">
        <v>35</v>
      </c>
      <c r="AC33">
        <v>292</v>
      </c>
      <c r="AD33">
        <v>5</v>
      </c>
      <c r="AE33">
        <v>6</v>
      </c>
      <c r="AF33">
        <v>2025</v>
      </c>
      <c r="AG33" t="s">
        <v>205</v>
      </c>
      <c r="AH33">
        <v>2026</v>
      </c>
      <c r="AI33">
        <v>18.66</v>
      </c>
      <c r="AJ33" t="s">
        <v>37</v>
      </c>
      <c r="AK33" t="s">
        <v>48</v>
      </c>
      <c r="AL33" t="s">
        <v>39</v>
      </c>
      <c r="AM33">
        <v>10351</v>
      </c>
      <c r="AN33" s="14" t="s">
        <v>832</v>
      </c>
      <c r="AO33" t="s">
        <v>48</v>
      </c>
      <c r="AP33">
        <v>0.20599999999999999</v>
      </c>
      <c r="AQ33">
        <v>1.91</v>
      </c>
    </row>
    <row r="34" spans="1:43" x14ac:dyDescent="0.3">
      <c r="A34">
        <v>7276954</v>
      </c>
      <c r="B34" t="s">
        <v>359</v>
      </c>
      <c r="C34" t="s">
        <v>360</v>
      </c>
      <c r="D34" t="s">
        <v>361</v>
      </c>
      <c r="E34" t="s">
        <v>117</v>
      </c>
      <c r="F34" t="s">
        <v>362</v>
      </c>
      <c r="G34" t="s">
        <v>363</v>
      </c>
      <c r="H34" t="s">
        <v>225</v>
      </c>
      <c r="I34" s="1">
        <v>41264.967893518522</v>
      </c>
      <c r="J34" s="1">
        <v>46272.49255787037</v>
      </c>
      <c r="K34" s="1">
        <v>46266.987696759257</v>
      </c>
      <c r="L34">
        <v>204920</v>
      </c>
      <c r="M34">
        <v>7238</v>
      </c>
      <c r="N34">
        <v>7238</v>
      </c>
      <c r="O34">
        <v>2932</v>
      </c>
      <c r="P34">
        <v>1046</v>
      </c>
      <c r="Q34" t="s">
        <v>34</v>
      </c>
      <c r="R34" t="s">
        <v>364</v>
      </c>
      <c r="S34" t="s">
        <v>122</v>
      </c>
      <c r="T34" t="s">
        <v>365</v>
      </c>
      <c r="U34" t="b">
        <v>1</v>
      </c>
      <c r="V34" t="b">
        <v>1</v>
      </c>
      <c r="W34" t="b">
        <v>1</v>
      </c>
      <c r="X34" t="b">
        <v>0</v>
      </c>
      <c r="Y34" t="b">
        <v>0</v>
      </c>
      <c r="Z34" t="b">
        <v>0</v>
      </c>
      <c r="AA34" t="b">
        <v>0</v>
      </c>
      <c r="AB34" t="s">
        <v>35</v>
      </c>
      <c r="AC34">
        <v>5015</v>
      </c>
      <c r="AD34">
        <v>7</v>
      </c>
      <c r="AE34">
        <v>13</v>
      </c>
      <c r="AF34">
        <v>2012</v>
      </c>
      <c r="AG34" t="s">
        <v>179</v>
      </c>
      <c r="AH34">
        <v>2026</v>
      </c>
      <c r="AI34">
        <v>200.12</v>
      </c>
      <c r="AJ34" t="s">
        <v>37</v>
      </c>
      <c r="AK34" t="s">
        <v>48</v>
      </c>
      <c r="AL34" t="s">
        <v>39</v>
      </c>
      <c r="AM34">
        <v>13102</v>
      </c>
      <c r="AN34" s="14" t="s">
        <v>832</v>
      </c>
      <c r="AO34" t="s">
        <v>48</v>
      </c>
      <c r="AP34">
        <v>0.40510000000000002</v>
      </c>
      <c r="AQ34">
        <v>144.52000000000001</v>
      </c>
    </row>
    <row r="35" spans="1:43" x14ac:dyDescent="0.3">
      <c r="A35">
        <v>23011147</v>
      </c>
      <c r="B35" t="s">
        <v>366</v>
      </c>
      <c r="C35" t="s">
        <v>367</v>
      </c>
      <c r="D35" t="s">
        <v>368</v>
      </c>
      <c r="E35" t="s">
        <v>117</v>
      </c>
      <c r="F35" t="s">
        <v>369</v>
      </c>
      <c r="G35" t="s">
        <v>370</v>
      </c>
      <c r="H35" t="s">
        <v>33</v>
      </c>
      <c r="I35" s="1">
        <v>41867.443356481483</v>
      </c>
      <c r="J35" s="1">
        <v>46273.632581018515</v>
      </c>
      <c r="K35" s="1">
        <v>46202.918935185182</v>
      </c>
      <c r="L35">
        <v>23075</v>
      </c>
      <c r="M35">
        <v>7121</v>
      </c>
      <c r="N35">
        <v>7121</v>
      </c>
      <c r="O35">
        <v>1363</v>
      </c>
      <c r="P35">
        <v>87</v>
      </c>
      <c r="Q35" t="s">
        <v>120</v>
      </c>
      <c r="R35" t="s">
        <v>128</v>
      </c>
      <c r="S35" t="s">
        <v>169</v>
      </c>
      <c r="T35" t="s">
        <v>371</v>
      </c>
      <c r="U35" t="b">
        <v>1</v>
      </c>
      <c r="V35" t="b">
        <v>1</v>
      </c>
      <c r="W35" t="b">
        <v>1</v>
      </c>
      <c r="X35" t="b">
        <v>1</v>
      </c>
      <c r="Y35" t="b">
        <v>0</v>
      </c>
      <c r="Z35" t="b">
        <v>0</v>
      </c>
      <c r="AA35" t="b">
        <v>0</v>
      </c>
      <c r="AB35" t="s">
        <v>35</v>
      </c>
      <c r="AC35">
        <v>4412</v>
      </c>
      <c r="AD35">
        <v>6</v>
      </c>
      <c r="AE35">
        <v>77</v>
      </c>
      <c r="AF35">
        <v>2014</v>
      </c>
      <c r="AG35" t="s">
        <v>47</v>
      </c>
      <c r="AH35">
        <v>2026</v>
      </c>
      <c r="AI35">
        <v>22.53</v>
      </c>
      <c r="AJ35" t="s">
        <v>37</v>
      </c>
      <c r="AK35" t="s">
        <v>48</v>
      </c>
      <c r="AL35" t="s">
        <v>39</v>
      </c>
      <c r="AM35">
        <v>9847</v>
      </c>
      <c r="AN35" s="14" t="s">
        <v>832</v>
      </c>
      <c r="AO35" t="s">
        <v>48</v>
      </c>
      <c r="AP35">
        <v>0.19139999999999999</v>
      </c>
      <c r="AQ35">
        <v>12.22</v>
      </c>
    </row>
    <row r="36" spans="1:43" x14ac:dyDescent="0.3">
      <c r="A36">
        <v>511691380</v>
      </c>
      <c r="B36" t="s">
        <v>372</v>
      </c>
      <c r="C36" t="s">
        <v>373</v>
      </c>
      <c r="D36" t="s">
        <v>374</v>
      </c>
      <c r="E36" t="s">
        <v>117</v>
      </c>
      <c r="F36" t="s">
        <v>375</v>
      </c>
      <c r="G36" t="s">
        <v>376</v>
      </c>
      <c r="H36" t="s">
        <v>377</v>
      </c>
      <c r="I36" s="1">
        <v>44750.166307870371</v>
      </c>
      <c r="J36" s="1">
        <v>46274.356504629628</v>
      </c>
      <c r="K36" s="1">
        <v>46274.446956018517</v>
      </c>
      <c r="L36">
        <v>88401</v>
      </c>
      <c r="M36">
        <v>7054</v>
      </c>
      <c r="N36">
        <v>7054</v>
      </c>
      <c r="O36">
        <v>841</v>
      </c>
      <c r="P36">
        <v>1083</v>
      </c>
      <c r="Q36" t="s">
        <v>34</v>
      </c>
      <c r="R36" t="s">
        <v>378</v>
      </c>
      <c r="S36" t="s">
        <v>122</v>
      </c>
      <c r="T36" t="s">
        <v>379</v>
      </c>
      <c r="U36" t="b">
        <v>1</v>
      </c>
      <c r="V36" t="b">
        <v>0</v>
      </c>
      <c r="W36" t="b">
        <v>1</v>
      </c>
      <c r="X36" t="b">
        <v>1</v>
      </c>
      <c r="Y36" t="b">
        <v>0</v>
      </c>
      <c r="Z36" t="b">
        <v>0</v>
      </c>
      <c r="AA36" t="b">
        <v>0</v>
      </c>
      <c r="AB36" t="s">
        <v>35</v>
      </c>
      <c r="AC36">
        <v>1530</v>
      </c>
      <c r="AD36">
        <v>5</v>
      </c>
      <c r="AE36">
        <v>5</v>
      </c>
      <c r="AF36">
        <v>2022</v>
      </c>
      <c r="AG36" t="s">
        <v>54</v>
      </c>
      <c r="AH36">
        <v>2026</v>
      </c>
      <c r="AI36">
        <v>86.33</v>
      </c>
      <c r="AJ36" t="s">
        <v>37</v>
      </c>
      <c r="AK36" t="s">
        <v>48</v>
      </c>
      <c r="AL36" t="s">
        <v>39</v>
      </c>
      <c r="AM36">
        <v>8736</v>
      </c>
      <c r="AN36" s="14" t="s">
        <v>832</v>
      </c>
      <c r="AO36" t="s">
        <v>48</v>
      </c>
      <c r="AP36">
        <v>0.1192</v>
      </c>
      <c r="AQ36">
        <v>153.53</v>
      </c>
    </row>
    <row r="37" spans="1:43" x14ac:dyDescent="0.3">
      <c r="A37">
        <v>673277958</v>
      </c>
      <c r="B37" t="s">
        <v>380</v>
      </c>
      <c r="C37" t="s">
        <v>381</v>
      </c>
      <c r="D37" t="s">
        <v>382</v>
      </c>
      <c r="E37" t="s">
        <v>117</v>
      </c>
      <c r="F37" t="s">
        <v>383</v>
      </c>
      <c r="G37" t="s">
        <v>384</v>
      </c>
      <c r="H37" t="s">
        <v>33</v>
      </c>
      <c r="I37" s="1">
        <v>45139.615752314814</v>
      </c>
      <c r="J37" s="1">
        <v>46274.461736111109</v>
      </c>
      <c r="K37" s="1">
        <v>46274.337754629632</v>
      </c>
      <c r="L37">
        <v>2210404</v>
      </c>
      <c r="M37">
        <v>7021</v>
      </c>
      <c r="N37">
        <v>7021</v>
      </c>
      <c r="O37">
        <v>423</v>
      </c>
      <c r="P37">
        <v>59</v>
      </c>
      <c r="Q37" t="s">
        <v>34</v>
      </c>
      <c r="R37" t="s">
        <v>385</v>
      </c>
      <c r="S37" t="s">
        <v>122</v>
      </c>
      <c r="T37" t="s">
        <v>386</v>
      </c>
      <c r="U37" t="b">
        <v>1</v>
      </c>
      <c r="V37" t="b">
        <v>1</v>
      </c>
      <c r="W37" t="b">
        <v>1</v>
      </c>
      <c r="X37" t="b">
        <v>1</v>
      </c>
      <c r="Y37" t="b">
        <v>0</v>
      </c>
      <c r="Z37" t="b">
        <v>0</v>
      </c>
      <c r="AA37" t="b">
        <v>0</v>
      </c>
      <c r="AB37" t="s">
        <v>35</v>
      </c>
      <c r="AC37">
        <v>1140</v>
      </c>
      <c r="AD37">
        <v>5</v>
      </c>
      <c r="AE37">
        <v>5</v>
      </c>
      <c r="AF37">
        <v>2023</v>
      </c>
      <c r="AG37" t="s">
        <v>47</v>
      </c>
      <c r="AH37">
        <v>2026</v>
      </c>
      <c r="AI37">
        <v>2158.6</v>
      </c>
      <c r="AJ37" t="s">
        <v>37</v>
      </c>
      <c r="AK37" t="s">
        <v>48</v>
      </c>
      <c r="AL37" t="s">
        <v>39</v>
      </c>
      <c r="AM37">
        <v>7867</v>
      </c>
      <c r="AN37" s="14" t="s">
        <v>832</v>
      </c>
      <c r="AO37" t="s">
        <v>48</v>
      </c>
      <c r="AP37">
        <v>6.0199999999999997E-2</v>
      </c>
      <c r="AQ37">
        <v>8.4</v>
      </c>
    </row>
    <row r="38" spans="1:43" x14ac:dyDescent="0.3">
      <c r="A38">
        <v>30730072</v>
      </c>
      <c r="B38" t="s">
        <v>387</v>
      </c>
      <c r="C38" t="s">
        <v>388</v>
      </c>
      <c r="D38" t="s">
        <v>389</v>
      </c>
      <c r="E38" t="s">
        <v>134</v>
      </c>
      <c r="F38" t="s">
        <v>390</v>
      </c>
      <c r="G38" t="s">
        <v>391</v>
      </c>
      <c r="H38" t="s">
        <v>193</v>
      </c>
      <c r="I38" s="1">
        <v>42048.190254629626</v>
      </c>
      <c r="J38" s="1">
        <v>46272.790567129632</v>
      </c>
      <c r="K38" s="1">
        <v>45098.608657407407</v>
      </c>
      <c r="L38">
        <v>20422</v>
      </c>
      <c r="M38">
        <v>6749</v>
      </c>
      <c r="N38">
        <v>6749</v>
      </c>
      <c r="O38">
        <v>2107</v>
      </c>
      <c r="P38">
        <v>15</v>
      </c>
      <c r="Q38" t="s">
        <v>120</v>
      </c>
      <c r="R38" t="s">
        <v>392</v>
      </c>
      <c r="S38" t="s">
        <v>279</v>
      </c>
      <c r="T38" t="s">
        <v>393</v>
      </c>
      <c r="U38" t="b">
        <v>1</v>
      </c>
      <c r="V38" t="b">
        <v>1</v>
      </c>
      <c r="W38" t="b">
        <v>1</v>
      </c>
      <c r="X38" t="b">
        <v>0</v>
      </c>
      <c r="Y38" t="b">
        <v>0</v>
      </c>
      <c r="Z38" t="b">
        <v>0</v>
      </c>
      <c r="AA38" t="b">
        <v>0</v>
      </c>
      <c r="AB38" t="s">
        <v>35</v>
      </c>
      <c r="AC38">
        <v>4232</v>
      </c>
      <c r="AD38">
        <v>7</v>
      </c>
      <c r="AE38">
        <v>1181</v>
      </c>
      <c r="AF38">
        <v>2015</v>
      </c>
      <c r="AG38" t="s">
        <v>98</v>
      </c>
      <c r="AH38">
        <v>2026</v>
      </c>
      <c r="AI38">
        <v>19.940000000000001</v>
      </c>
      <c r="AJ38" t="s">
        <v>37</v>
      </c>
      <c r="AK38" t="s">
        <v>48</v>
      </c>
      <c r="AL38" t="s">
        <v>100</v>
      </c>
      <c r="AM38">
        <v>10963</v>
      </c>
      <c r="AN38" s="14" t="s">
        <v>832</v>
      </c>
      <c r="AO38" t="s">
        <v>38</v>
      </c>
      <c r="AP38">
        <v>0.31219999999999998</v>
      </c>
      <c r="AQ38">
        <v>2.2200000000000002</v>
      </c>
    </row>
    <row r="39" spans="1:43" x14ac:dyDescent="0.3">
      <c r="A39">
        <v>313853293</v>
      </c>
      <c r="B39" t="s">
        <v>394</v>
      </c>
      <c r="C39" t="s">
        <v>395</v>
      </c>
      <c r="D39" t="s">
        <v>394</v>
      </c>
      <c r="E39" t="s">
        <v>117</v>
      </c>
      <c r="F39" t="s">
        <v>396</v>
      </c>
      <c r="G39" t="s">
        <v>397</v>
      </c>
      <c r="H39" t="s">
        <v>328</v>
      </c>
      <c r="I39" s="1">
        <v>44153.532187500001</v>
      </c>
      <c r="J39" s="1">
        <v>46272.61886574074</v>
      </c>
      <c r="K39" s="1">
        <v>46272.620289351849</v>
      </c>
      <c r="L39">
        <v>197486</v>
      </c>
      <c r="M39">
        <v>6512</v>
      </c>
      <c r="N39">
        <v>6512</v>
      </c>
      <c r="O39">
        <v>557</v>
      </c>
      <c r="P39">
        <v>166</v>
      </c>
      <c r="Q39" t="s">
        <v>34</v>
      </c>
      <c r="R39" t="s">
        <v>398</v>
      </c>
      <c r="S39" t="s">
        <v>399</v>
      </c>
      <c r="T39" t="s">
        <v>400</v>
      </c>
      <c r="U39" t="b">
        <v>1</v>
      </c>
      <c r="V39" t="b">
        <v>1</v>
      </c>
      <c r="W39" t="b">
        <v>0</v>
      </c>
      <c r="X39" t="b">
        <v>0</v>
      </c>
      <c r="Y39" t="b">
        <v>0</v>
      </c>
      <c r="Z39" t="b">
        <v>0</v>
      </c>
      <c r="AA39" t="b">
        <v>0</v>
      </c>
      <c r="AB39" t="s">
        <v>35</v>
      </c>
      <c r="AC39">
        <v>2126</v>
      </c>
      <c r="AD39">
        <v>7</v>
      </c>
      <c r="AE39">
        <v>7</v>
      </c>
      <c r="AF39">
        <v>2020</v>
      </c>
      <c r="AG39" t="s">
        <v>205</v>
      </c>
      <c r="AH39">
        <v>2026</v>
      </c>
      <c r="AI39">
        <v>192.86</v>
      </c>
      <c r="AJ39" t="s">
        <v>37</v>
      </c>
      <c r="AK39" t="s">
        <v>48</v>
      </c>
      <c r="AL39" t="s">
        <v>39</v>
      </c>
      <c r="AM39">
        <v>7626</v>
      </c>
      <c r="AN39" s="14" t="s">
        <v>832</v>
      </c>
      <c r="AO39" t="s">
        <v>48</v>
      </c>
      <c r="AP39">
        <v>8.5500000000000007E-2</v>
      </c>
      <c r="AQ39">
        <v>25.49</v>
      </c>
    </row>
    <row r="40" spans="1:43" x14ac:dyDescent="0.3">
      <c r="A40">
        <v>22003158</v>
      </c>
      <c r="B40" t="s">
        <v>401</v>
      </c>
      <c r="C40" t="s">
        <v>402</v>
      </c>
      <c r="D40" t="s">
        <v>403</v>
      </c>
      <c r="E40" t="s">
        <v>134</v>
      </c>
      <c r="F40" t="s">
        <v>404</v>
      </c>
      <c r="G40" t="s">
        <v>405</v>
      </c>
      <c r="H40" t="s">
        <v>406</v>
      </c>
      <c r="I40" s="1">
        <v>41839.481099537035</v>
      </c>
      <c r="J40" s="1">
        <v>46271.472094907411</v>
      </c>
      <c r="K40" s="1">
        <v>45918.927997685183</v>
      </c>
      <c r="L40">
        <v>1254</v>
      </c>
      <c r="M40">
        <v>6508</v>
      </c>
      <c r="N40">
        <v>6508</v>
      </c>
      <c r="O40">
        <v>1514</v>
      </c>
      <c r="P40">
        <v>29</v>
      </c>
      <c r="Q40" t="s">
        <v>120</v>
      </c>
      <c r="R40" t="s">
        <v>407</v>
      </c>
      <c r="S40" t="s">
        <v>279</v>
      </c>
      <c r="T40" t="s">
        <v>195</v>
      </c>
      <c r="U40" t="b">
        <v>1</v>
      </c>
      <c r="V40" t="b">
        <v>1</v>
      </c>
      <c r="W40" t="b">
        <v>1</v>
      </c>
      <c r="X40" t="b">
        <v>1</v>
      </c>
      <c r="Y40" t="b">
        <v>0</v>
      </c>
      <c r="Z40" t="b">
        <v>0</v>
      </c>
      <c r="AA40" t="b">
        <v>0</v>
      </c>
      <c r="AB40" t="s">
        <v>35</v>
      </c>
      <c r="AC40">
        <v>4440</v>
      </c>
      <c r="AD40">
        <v>8</v>
      </c>
      <c r="AE40">
        <v>361</v>
      </c>
      <c r="AF40">
        <v>2014</v>
      </c>
      <c r="AG40" t="s">
        <v>54</v>
      </c>
      <c r="AH40">
        <v>2026</v>
      </c>
      <c r="AI40">
        <v>1.22</v>
      </c>
      <c r="AJ40" t="s">
        <v>37</v>
      </c>
      <c r="AK40" t="s">
        <v>48</v>
      </c>
      <c r="AL40" t="s">
        <v>213</v>
      </c>
      <c r="AM40">
        <v>9536</v>
      </c>
      <c r="AN40" s="14" t="s">
        <v>832</v>
      </c>
      <c r="AO40" t="s">
        <v>38</v>
      </c>
      <c r="AP40">
        <v>0.2326</v>
      </c>
      <c r="AQ40">
        <v>4.46</v>
      </c>
    </row>
    <row r="41" spans="1:43" x14ac:dyDescent="0.3">
      <c r="A41">
        <v>23653453</v>
      </c>
      <c r="B41" t="s">
        <v>408</v>
      </c>
      <c r="C41" t="s">
        <v>409</v>
      </c>
      <c r="D41" t="s">
        <v>408</v>
      </c>
      <c r="E41" t="s">
        <v>117</v>
      </c>
      <c r="F41" t="s">
        <v>410</v>
      </c>
      <c r="G41" t="s">
        <v>411</v>
      </c>
      <c r="H41" t="s">
        <v>328</v>
      </c>
      <c r="I41" s="1">
        <v>41886.555578703701</v>
      </c>
      <c r="J41" s="1">
        <v>46271.472199074073</v>
      </c>
      <c r="K41" s="1">
        <v>45692.16479166667</v>
      </c>
      <c r="L41">
        <v>656481</v>
      </c>
      <c r="M41">
        <v>6309</v>
      </c>
      <c r="N41">
        <v>6309</v>
      </c>
      <c r="O41">
        <v>578</v>
      </c>
      <c r="P41">
        <v>940</v>
      </c>
      <c r="Q41" t="s">
        <v>120</v>
      </c>
      <c r="R41" t="s">
        <v>412</v>
      </c>
      <c r="S41" t="s">
        <v>122</v>
      </c>
      <c r="T41" t="s">
        <v>413</v>
      </c>
      <c r="U41" t="b">
        <v>1</v>
      </c>
      <c r="V41" t="b">
        <v>1</v>
      </c>
      <c r="W41" t="b">
        <v>0</v>
      </c>
      <c r="X41" t="b">
        <v>0</v>
      </c>
      <c r="Y41" t="b">
        <v>0</v>
      </c>
      <c r="Z41" t="b">
        <v>0</v>
      </c>
      <c r="AA41" t="b">
        <v>0</v>
      </c>
      <c r="AB41" t="s">
        <v>35</v>
      </c>
      <c r="AC41">
        <v>4393</v>
      </c>
      <c r="AD41">
        <v>8</v>
      </c>
      <c r="AE41">
        <v>588</v>
      </c>
      <c r="AF41">
        <v>2014</v>
      </c>
      <c r="AG41" t="s">
        <v>36</v>
      </c>
      <c r="AH41">
        <v>2026</v>
      </c>
      <c r="AI41">
        <v>641.09</v>
      </c>
      <c r="AJ41" t="s">
        <v>37</v>
      </c>
      <c r="AK41" t="s">
        <v>48</v>
      </c>
      <c r="AL41" t="s">
        <v>100</v>
      </c>
      <c r="AM41">
        <v>7465</v>
      </c>
      <c r="AN41" s="14" t="s">
        <v>832</v>
      </c>
      <c r="AO41" t="s">
        <v>48</v>
      </c>
      <c r="AP41">
        <v>9.1600000000000001E-2</v>
      </c>
      <c r="AQ41">
        <v>148.99</v>
      </c>
    </row>
    <row r="42" spans="1:43" x14ac:dyDescent="0.3">
      <c r="A42">
        <v>689849471</v>
      </c>
      <c r="B42" t="s">
        <v>414</v>
      </c>
      <c r="C42" t="s">
        <v>415</v>
      </c>
      <c r="D42" t="s">
        <v>190</v>
      </c>
      <c r="E42" t="s">
        <v>117</v>
      </c>
      <c r="F42" t="s">
        <v>416</v>
      </c>
      <c r="G42" t="s">
        <v>417</v>
      </c>
      <c r="H42" t="s">
        <v>33</v>
      </c>
      <c r="I42" s="1">
        <v>45180.366412037038</v>
      </c>
      <c r="J42" s="1">
        <v>46273.59878472222</v>
      </c>
      <c r="K42" s="1">
        <v>46104.491215277776</v>
      </c>
      <c r="L42">
        <v>37379</v>
      </c>
      <c r="M42">
        <v>6168</v>
      </c>
      <c r="N42">
        <v>6168</v>
      </c>
      <c r="O42">
        <v>783</v>
      </c>
      <c r="P42">
        <v>53</v>
      </c>
      <c r="Q42" t="s">
        <v>34</v>
      </c>
      <c r="R42" t="s">
        <v>418</v>
      </c>
      <c r="S42" t="s">
        <v>169</v>
      </c>
      <c r="T42" t="s">
        <v>419</v>
      </c>
      <c r="U42" t="b">
        <v>1</v>
      </c>
      <c r="V42" t="b">
        <v>1</v>
      </c>
      <c r="W42" t="b">
        <v>1</v>
      </c>
      <c r="X42" t="b">
        <v>1</v>
      </c>
      <c r="Y42" t="b">
        <v>0</v>
      </c>
      <c r="Z42" t="b">
        <v>1</v>
      </c>
      <c r="AA42" t="b">
        <v>0</v>
      </c>
      <c r="AB42" t="s">
        <v>35</v>
      </c>
      <c r="AC42">
        <v>1099</v>
      </c>
      <c r="AD42">
        <v>6</v>
      </c>
      <c r="AE42">
        <v>175</v>
      </c>
      <c r="AF42">
        <v>2023</v>
      </c>
      <c r="AG42" t="s">
        <v>36</v>
      </c>
      <c r="AH42">
        <v>2026</v>
      </c>
      <c r="AI42">
        <v>36.5</v>
      </c>
      <c r="AJ42" t="s">
        <v>37</v>
      </c>
      <c r="AK42" t="s">
        <v>48</v>
      </c>
      <c r="AL42" t="s">
        <v>39</v>
      </c>
      <c r="AM42">
        <v>7734</v>
      </c>
      <c r="AN42" s="14" t="s">
        <v>832</v>
      </c>
      <c r="AO42" t="s">
        <v>48</v>
      </c>
      <c r="AP42">
        <v>0.12690000000000001</v>
      </c>
      <c r="AQ42">
        <v>8.59</v>
      </c>
    </row>
    <row r="43" spans="1:43" x14ac:dyDescent="0.3">
      <c r="A43">
        <v>65949398</v>
      </c>
      <c r="B43" t="s">
        <v>420</v>
      </c>
      <c r="C43" t="s">
        <v>421</v>
      </c>
      <c r="D43" t="s">
        <v>422</v>
      </c>
      <c r="E43" t="s">
        <v>117</v>
      </c>
      <c r="F43" t="s">
        <v>423</v>
      </c>
      <c r="G43" t="s">
        <v>424</v>
      </c>
      <c r="H43" t="s">
        <v>33</v>
      </c>
      <c r="I43" s="1">
        <v>42600.210300925923</v>
      </c>
      <c r="J43" s="1">
        <v>46271.511967592596</v>
      </c>
      <c r="K43" s="1">
        <v>45539.854131944441</v>
      </c>
      <c r="L43">
        <v>77586</v>
      </c>
      <c r="M43">
        <v>5538</v>
      </c>
      <c r="N43">
        <v>5538</v>
      </c>
      <c r="O43">
        <v>680</v>
      </c>
      <c r="P43">
        <v>137</v>
      </c>
      <c r="Q43" t="s">
        <v>120</v>
      </c>
      <c r="R43" t="s">
        <v>425</v>
      </c>
      <c r="S43" t="s">
        <v>122</v>
      </c>
      <c r="T43" t="s">
        <v>195</v>
      </c>
      <c r="U43" t="b">
        <v>1</v>
      </c>
      <c r="V43" t="b">
        <v>1</v>
      </c>
      <c r="W43" t="b">
        <v>1</v>
      </c>
      <c r="X43" t="b">
        <v>0</v>
      </c>
      <c r="Y43" t="b">
        <v>0</v>
      </c>
      <c r="Z43" t="b">
        <v>0</v>
      </c>
      <c r="AA43" t="b">
        <v>0</v>
      </c>
      <c r="AB43" t="s">
        <v>35</v>
      </c>
      <c r="AC43">
        <v>3680</v>
      </c>
      <c r="AD43">
        <v>8</v>
      </c>
      <c r="AE43">
        <v>740</v>
      </c>
      <c r="AF43">
        <v>2016</v>
      </c>
      <c r="AG43" t="s">
        <v>47</v>
      </c>
      <c r="AH43">
        <v>2026</v>
      </c>
      <c r="AI43">
        <v>75.77</v>
      </c>
      <c r="AJ43" t="s">
        <v>37</v>
      </c>
      <c r="AK43" t="s">
        <v>48</v>
      </c>
      <c r="AL43" t="s">
        <v>100</v>
      </c>
      <c r="AM43">
        <v>6898</v>
      </c>
      <c r="AN43" s="14" t="s">
        <v>832</v>
      </c>
      <c r="AO43" t="s">
        <v>48</v>
      </c>
      <c r="AP43">
        <v>0.12280000000000001</v>
      </c>
      <c r="AQ43">
        <v>24.74</v>
      </c>
    </row>
    <row r="44" spans="1:43" x14ac:dyDescent="0.3">
      <c r="A44">
        <v>1210155353</v>
      </c>
      <c r="B44" t="s">
        <v>426</v>
      </c>
      <c r="C44" t="s">
        <v>427</v>
      </c>
      <c r="D44" t="s">
        <v>428</v>
      </c>
      <c r="E44" t="s">
        <v>117</v>
      </c>
      <c r="F44" t="s">
        <v>429</v>
      </c>
      <c r="G44" t="s">
        <v>430</v>
      </c>
      <c r="H44" t="s">
        <v>202</v>
      </c>
      <c r="I44" s="1">
        <v>46126.494340277779</v>
      </c>
      <c r="J44" s="1">
        <v>46274.464814814812</v>
      </c>
      <c r="K44" s="1">
        <v>46274.389965277776</v>
      </c>
      <c r="L44">
        <v>148124</v>
      </c>
      <c r="M44">
        <v>5470</v>
      </c>
      <c r="N44">
        <v>5470</v>
      </c>
      <c r="O44">
        <v>387</v>
      </c>
      <c r="P44">
        <v>27</v>
      </c>
      <c r="Q44" t="s">
        <v>34</v>
      </c>
      <c r="R44" t="s">
        <v>431</v>
      </c>
      <c r="S44" t="s">
        <v>169</v>
      </c>
      <c r="T44" t="s">
        <v>195</v>
      </c>
      <c r="U44" t="b">
        <v>1</v>
      </c>
      <c r="V44" t="b">
        <v>1</v>
      </c>
      <c r="W44" t="b">
        <v>0</v>
      </c>
      <c r="X44" t="b">
        <v>0</v>
      </c>
      <c r="Y44" t="b">
        <v>0</v>
      </c>
      <c r="Z44" t="b">
        <v>0</v>
      </c>
      <c r="AA44" t="b">
        <v>0</v>
      </c>
      <c r="AB44" t="s">
        <v>35</v>
      </c>
      <c r="AC44">
        <v>153</v>
      </c>
      <c r="AD44">
        <v>5</v>
      </c>
      <c r="AE44">
        <v>5</v>
      </c>
      <c r="AF44">
        <v>2026</v>
      </c>
      <c r="AG44" t="s">
        <v>140</v>
      </c>
      <c r="AH44">
        <v>2026</v>
      </c>
      <c r="AI44">
        <v>144.65</v>
      </c>
      <c r="AJ44" t="s">
        <v>37</v>
      </c>
      <c r="AK44" t="s">
        <v>48</v>
      </c>
      <c r="AL44" t="s">
        <v>39</v>
      </c>
      <c r="AM44">
        <v>6244</v>
      </c>
      <c r="AN44" s="14" t="s">
        <v>832</v>
      </c>
      <c r="AO44" t="s">
        <v>48</v>
      </c>
      <c r="AP44">
        <v>7.0699999999999999E-2</v>
      </c>
      <c r="AQ44">
        <v>4.9400000000000004</v>
      </c>
    </row>
    <row r="45" spans="1:43" x14ac:dyDescent="0.3">
      <c r="A45">
        <v>58225794</v>
      </c>
      <c r="B45" t="s">
        <v>432</v>
      </c>
      <c r="C45" t="s">
        <v>433</v>
      </c>
      <c r="D45" t="s">
        <v>434</v>
      </c>
      <c r="E45" t="s">
        <v>134</v>
      </c>
      <c r="F45" t="s">
        <v>435</v>
      </c>
      <c r="G45" t="s">
        <v>436</v>
      </c>
      <c r="H45" t="s">
        <v>53</v>
      </c>
      <c r="I45" s="1">
        <v>42496.983124999999</v>
      </c>
      <c r="J45" s="1">
        <v>46273.909351851849</v>
      </c>
      <c r="K45" s="1">
        <v>46273.813449074078</v>
      </c>
      <c r="L45">
        <v>1653</v>
      </c>
      <c r="M45">
        <v>5279</v>
      </c>
      <c r="N45">
        <v>5279</v>
      </c>
      <c r="O45">
        <v>795</v>
      </c>
      <c r="P45">
        <v>2</v>
      </c>
      <c r="Q45" t="s">
        <v>120</v>
      </c>
      <c r="R45" t="s">
        <v>437</v>
      </c>
      <c r="S45" t="s">
        <v>438</v>
      </c>
      <c r="T45" t="s">
        <v>195</v>
      </c>
      <c r="U45" t="b">
        <v>1</v>
      </c>
      <c r="V45" t="b">
        <v>1</v>
      </c>
      <c r="W45" t="b">
        <v>1</v>
      </c>
      <c r="X45" t="b">
        <v>1</v>
      </c>
      <c r="Y45" t="b">
        <v>0</v>
      </c>
      <c r="Z45" t="b">
        <v>0</v>
      </c>
      <c r="AA45" t="b">
        <v>0</v>
      </c>
      <c r="AB45" t="s">
        <v>35</v>
      </c>
      <c r="AC45">
        <v>3783</v>
      </c>
      <c r="AD45">
        <v>6</v>
      </c>
      <c r="AE45">
        <v>6</v>
      </c>
      <c r="AF45">
        <v>2016</v>
      </c>
      <c r="AG45" t="s">
        <v>323</v>
      </c>
      <c r="AH45">
        <v>2026</v>
      </c>
      <c r="AI45">
        <v>1.61</v>
      </c>
      <c r="AJ45" t="s">
        <v>37</v>
      </c>
      <c r="AK45" t="s">
        <v>48</v>
      </c>
      <c r="AL45" t="s">
        <v>39</v>
      </c>
      <c r="AM45">
        <v>6869</v>
      </c>
      <c r="AN45" s="14" t="s">
        <v>832</v>
      </c>
      <c r="AO45" t="s">
        <v>48</v>
      </c>
      <c r="AP45">
        <v>0.15060000000000001</v>
      </c>
      <c r="AQ45">
        <v>0.38</v>
      </c>
    </row>
    <row r="46" spans="1:43" x14ac:dyDescent="0.3">
      <c r="A46">
        <v>173582015</v>
      </c>
      <c r="B46" t="s">
        <v>439</v>
      </c>
      <c r="C46" t="s">
        <v>440</v>
      </c>
      <c r="D46" t="s">
        <v>441</v>
      </c>
      <c r="E46" t="s">
        <v>134</v>
      </c>
      <c r="F46" t="s">
        <v>442</v>
      </c>
      <c r="G46" t="s">
        <v>443</v>
      </c>
      <c r="H46" t="s">
        <v>328</v>
      </c>
      <c r="I46" s="1">
        <v>43527.812094907407</v>
      </c>
      <c r="J46" s="1">
        <v>46274.091817129629</v>
      </c>
      <c r="K46" s="1">
        <v>45438.865891203706</v>
      </c>
      <c r="L46">
        <v>14011</v>
      </c>
      <c r="M46">
        <v>5265</v>
      </c>
      <c r="N46">
        <v>5265</v>
      </c>
      <c r="O46">
        <v>214</v>
      </c>
      <c r="P46">
        <v>46</v>
      </c>
      <c r="Q46" t="s">
        <v>34</v>
      </c>
      <c r="R46" t="s">
        <v>444</v>
      </c>
      <c r="S46" t="s">
        <v>399</v>
      </c>
      <c r="T46" t="s">
        <v>195</v>
      </c>
      <c r="U46" t="b">
        <v>1</v>
      </c>
      <c r="V46" t="b">
        <v>1</v>
      </c>
      <c r="W46" t="b">
        <v>1</v>
      </c>
      <c r="X46" t="b">
        <v>1</v>
      </c>
      <c r="Y46" t="b">
        <v>0</v>
      </c>
      <c r="Z46" t="b">
        <v>0</v>
      </c>
      <c r="AA46" t="b">
        <v>0</v>
      </c>
      <c r="AB46" t="s">
        <v>35</v>
      </c>
      <c r="AC46">
        <v>2752</v>
      </c>
      <c r="AD46">
        <v>6</v>
      </c>
      <c r="AE46">
        <v>841</v>
      </c>
      <c r="AF46">
        <v>2019</v>
      </c>
      <c r="AG46" t="s">
        <v>196</v>
      </c>
      <c r="AH46">
        <v>2026</v>
      </c>
      <c r="AI46">
        <v>13.68</v>
      </c>
      <c r="AJ46" t="s">
        <v>37</v>
      </c>
      <c r="AK46" t="s">
        <v>48</v>
      </c>
      <c r="AL46" t="s">
        <v>100</v>
      </c>
      <c r="AM46">
        <v>5693</v>
      </c>
      <c r="AN46" s="14" t="s">
        <v>832</v>
      </c>
      <c r="AO46" t="s">
        <v>48</v>
      </c>
      <c r="AP46">
        <v>4.0599999999999997E-2</v>
      </c>
      <c r="AQ46">
        <v>8.74</v>
      </c>
    </row>
    <row r="47" spans="1:43" x14ac:dyDescent="0.3">
      <c r="A47">
        <v>196968829</v>
      </c>
      <c r="B47" t="s">
        <v>445</v>
      </c>
      <c r="C47" t="s">
        <v>446</v>
      </c>
      <c r="D47" t="s">
        <v>447</v>
      </c>
      <c r="E47" t="s">
        <v>117</v>
      </c>
      <c r="F47" t="s">
        <v>448</v>
      </c>
      <c r="G47" t="s">
        <v>449</v>
      </c>
      <c r="H47" t="s">
        <v>342</v>
      </c>
      <c r="I47" s="1">
        <v>43661.628333333334</v>
      </c>
      <c r="J47" s="1">
        <v>46272.864999999998</v>
      </c>
      <c r="K47" s="1">
        <v>46227.450578703705</v>
      </c>
      <c r="L47">
        <v>132560</v>
      </c>
      <c r="M47">
        <v>5219</v>
      </c>
      <c r="N47">
        <v>5219</v>
      </c>
      <c r="O47">
        <v>447</v>
      </c>
      <c r="P47">
        <v>71</v>
      </c>
      <c r="Q47" t="s">
        <v>120</v>
      </c>
      <c r="R47" t="s">
        <v>450</v>
      </c>
      <c r="S47" t="s">
        <v>451</v>
      </c>
      <c r="T47" t="s">
        <v>452</v>
      </c>
      <c r="U47" t="b">
        <v>1</v>
      </c>
      <c r="V47" t="b">
        <v>1</v>
      </c>
      <c r="W47" t="b">
        <v>1</v>
      </c>
      <c r="X47" t="b">
        <v>0</v>
      </c>
      <c r="Y47" t="b">
        <v>0</v>
      </c>
      <c r="Z47" t="b">
        <v>0</v>
      </c>
      <c r="AA47" t="b">
        <v>0</v>
      </c>
      <c r="AB47" t="s">
        <v>35</v>
      </c>
      <c r="AC47">
        <v>2618</v>
      </c>
      <c r="AD47">
        <v>7</v>
      </c>
      <c r="AE47">
        <v>52</v>
      </c>
      <c r="AF47">
        <v>2019</v>
      </c>
      <c r="AG47" t="s">
        <v>54</v>
      </c>
      <c r="AH47">
        <v>2026</v>
      </c>
      <c r="AI47">
        <v>129.44999999999999</v>
      </c>
      <c r="AJ47" t="s">
        <v>37</v>
      </c>
      <c r="AK47" t="s">
        <v>48</v>
      </c>
      <c r="AL47" t="s">
        <v>39</v>
      </c>
      <c r="AM47">
        <v>6113</v>
      </c>
      <c r="AN47" s="14" t="s">
        <v>832</v>
      </c>
      <c r="AO47" t="s">
        <v>48</v>
      </c>
      <c r="AP47">
        <v>8.5599999999999996E-2</v>
      </c>
      <c r="AQ47">
        <v>13.6</v>
      </c>
    </row>
    <row r="48" spans="1:43" x14ac:dyDescent="0.3">
      <c r="A48">
        <v>263751330</v>
      </c>
      <c r="B48" t="s">
        <v>453</v>
      </c>
      <c r="C48" t="s">
        <v>454</v>
      </c>
      <c r="D48" t="s">
        <v>455</v>
      </c>
      <c r="E48" t="s">
        <v>117</v>
      </c>
      <c r="F48" t="s">
        <v>456</v>
      </c>
      <c r="G48" t="s">
        <v>457</v>
      </c>
      <c r="H48" t="s">
        <v>342</v>
      </c>
      <c r="I48" s="1">
        <v>43965.141273148147</v>
      </c>
      <c r="J48" s="1">
        <v>46274.494583333333</v>
      </c>
      <c r="K48" s="1">
        <v>46127.365636574075</v>
      </c>
      <c r="L48">
        <v>83487</v>
      </c>
      <c r="M48">
        <v>5058</v>
      </c>
      <c r="N48">
        <v>5058</v>
      </c>
      <c r="O48">
        <v>222</v>
      </c>
      <c r="P48">
        <v>101</v>
      </c>
      <c r="Q48" t="s">
        <v>458</v>
      </c>
      <c r="R48" t="s">
        <v>459</v>
      </c>
      <c r="S48" t="s">
        <v>169</v>
      </c>
      <c r="T48" t="s">
        <v>460</v>
      </c>
      <c r="U48" t="b">
        <v>1</v>
      </c>
      <c r="V48" t="b">
        <v>1</v>
      </c>
      <c r="W48" t="b">
        <v>0</v>
      </c>
      <c r="X48" t="b">
        <v>0</v>
      </c>
      <c r="Y48" t="b">
        <v>0</v>
      </c>
      <c r="Z48" t="b">
        <v>0</v>
      </c>
      <c r="AA48" t="b">
        <v>0</v>
      </c>
      <c r="AB48" t="s">
        <v>35</v>
      </c>
      <c r="AC48">
        <v>2315</v>
      </c>
      <c r="AD48">
        <v>5</v>
      </c>
      <c r="AE48">
        <v>152</v>
      </c>
      <c r="AF48">
        <v>2020</v>
      </c>
      <c r="AG48" t="s">
        <v>323</v>
      </c>
      <c r="AH48">
        <v>2026</v>
      </c>
      <c r="AI48">
        <v>81.53</v>
      </c>
      <c r="AJ48" t="s">
        <v>37</v>
      </c>
      <c r="AK48" t="s">
        <v>48</v>
      </c>
      <c r="AL48" t="s">
        <v>39</v>
      </c>
      <c r="AM48">
        <v>5502</v>
      </c>
      <c r="AN48" s="14" t="s">
        <v>832</v>
      </c>
      <c r="AO48" t="s">
        <v>48</v>
      </c>
      <c r="AP48">
        <v>4.3900000000000002E-2</v>
      </c>
      <c r="AQ48">
        <v>19.97</v>
      </c>
    </row>
    <row r="49" spans="1:43" x14ac:dyDescent="0.3">
      <c r="A49">
        <v>410249461</v>
      </c>
      <c r="B49" t="s">
        <v>461</v>
      </c>
      <c r="C49" t="s">
        <v>462</v>
      </c>
      <c r="D49" t="s">
        <v>463</v>
      </c>
      <c r="E49" t="s">
        <v>134</v>
      </c>
      <c r="F49" t="s">
        <v>464</v>
      </c>
      <c r="G49" t="s">
        <v>465</v>
      </c>
      <c r="H49" t="s">
        <v>193</v>
      </c>
      <c r="I49" s="1">
        <v>44464.689293981479</v>
      </c>
      <c r="J49" s="1">
        <v>46273.822650462964</v>
      </c>
      <c r="K49" s="1">
        <v>45192.15388888889</v>
      </c>
      <c r="L49">
        <v>167602</v>
      </c>
      <c r="M49">
        <v>5041</v>
      </c>
      <c r="N49">
        <v>5041</v>
      </c>
      <c r="O49">
        <v>834</v>
      </c>
      <c r="P49">
        <v>2</v>
      </c>
      <c r="Q49" t="s">
        <v>34</v>
      </c>
      <c r="R49" t="s">
        <v>466</v>
      </c>
      <c r="S49" t="s">
        <v>169</v>
      </c>
      <c r="T49" t="s">
        <v>467</v>
      </c>
      <c r="U49" t="b">
        <v>1</v>
      </c>
      <c r="V49" t="b">
        <v>1</v>
      </c>
      <c r="W49" t="b">
        <v>1</v>
      </c>
      <c r="X49" t="b">
        <v>1</v>
      </c>
      <c r="Y49" t="b">
        <v>0</v>
      </c>
      <c r="Z49" t="b">
        <v>0</v>
      </c>
      <c r="AA49" t="b">
        <v>0</v>
      </c>
      <c r="AB49" t="s">
        <v>35</v>
      </c>
      <c r="AC49">
        <v>1815</v>
      </c>
      <c r="AD49">
        <v>6</v>
      </c>
      <c r="AE49">
        <v>1088</v>
      </c>
      <c r="AF49">
        <v>2021</v>
      </c>
      <c r="AG49" t="s">
        <v>36</v>
      </c>
      <c r="AH49">
        <v>2026</v>
      </c>
      <c r="AI49">
        <v>163.66999999999999</v>
      </c>
      <c r="AJ49" t="s">
        <v>37</v>
      </c>
      <c r="AK49" t="s">
        <v>48</v>
      </c>
      <c r="AL49" t="s">
        <v>100</v>
      </c>
      <c r="AM49">
        <v>6709</v>
      </c>
      <c r="AN49" s="14" t="s">
        <v>832</v>
      </c>
      <c r="AO49" t="s">
        <v>48</v>
      </c>
      <c r="AP49">
        <v>0.16539999999999999</v>
      </c>
      <c r="AQ49">
        <v>0.4</v>
      </c>
    </row>
    <row r="50" spans="1:43" x14ac:dyDescent="0.3">
      <c r="A50">
        <v>291173540</v>
      </c>
      <c r="B50" t="s">
        <v>468</v>
      </c>
      <c r="C50" t="s">
        <v>469</v>
      </c>
      <c r="D50" t="s">
        <v>470</v>
      </c>
      <c r="E50" t="s">
        <v>134</v>
      </c>
      <c r="F50" t="s">
        <v>471</v>
      </c>
      <c r="G50" t="s">
        <v>472</v>
      </c>
      <c r="H50" t="s">
        <v>320</v>
      </c>
      <c r="I50" s="1">
        <v>44072.26054398148</v>
      </c>
      <c r="J50" s="1">
        <v>46273.943553240744</v>
      </c>
      <c r="K50" s="1">
        <v>46114.817893518521</v>
      </c>
      <c r="L50">
        <v>40108</v>
      </c>
      <c r="M50">
        <v>4926</v>
      </c>
      <c r="N50">
        <v>4926</v>
      </c>
      <c r="O50">
        <v>386</v>
      </c>
      <c r="P50">
        <v>82</v>
      </c>
      <c r="Q50" t="s">
        <v>120</v>
      </c>
      <c r="R50" t="s">
        <v>473</v>
      </c>
      <c r="S50" t="s">
        <v>169</v>
      </c>
      <c r="T50" t="s">
        <v>474</v>
      </c>
      <c r="U50" t="b">
        <v>1</v>
      </c>
      <c r="V50" t="b">
        <v>1</v>
      </c>
      <c r="W50" t="b">
        <v>0</v>
      </c>
      <c r="X50" t="b">
        <v>1</v>
      </c>
      <c r="Y50" t="b">
        <v>0</v>
      </c>
      <c r="Z50" t="b">
        <v>0</v>
      </c>
      <c r="AA50" t="b">
        <v>0</v>
      </c>
      <c r="AB50" t="s">
        <v>35</v>
      </c>
      <c r="AC50">
        <v>2207</v>
      </c>
      <c r="AD50">
        <v>6</v>
      </c>
      <c r="AE50">
        <v>165</v>
      </c>
      <c r="AF50">
        <v>2020</v>
      </c>
      <c r="AG50" t="s">
        <v>47</v>
      </c>
      <c r="AH50">
        <v>2026</v>
      </c>
      <c r="AI50">
        <v>39.17</v>
      </c>
      <c r="AJ50" t="s">
        <v>37</v>
      </c>
      <c r="AK50" t="s">
        <v>48</v>
      </c>
      <c r="AL50" t="s">
        <v>39</v>
      </c>
      <c r="AM50">
        <v>5698</v>
      </c>
      <c r="AN50" s="14" t="s">
        <v>832</v>
      </c>
      <c r="AO50" t="s">
        <v>48</v>
      </c>
      <c r="AP50">
        <v>7.8399999999999997E-2</v>
      </c>
      <c r="AQ50">
        <v>16.649999999999999</v>
      </c>
    </row>
    <row r="51" spans="1:43" x14ac:dyDescent="0.3">
      <c r="A51">
        <v>62032720</v>
      </c>
      <c r="B51" t="s">
        <v>475</v>
      </c>
      <c r="C51" t="s">
        <v>476</v>
      </c>
      <c r="D51" t="s">
        <v>477</v>
      </c>
      <c r="E51" t="s">
        <v>117</v>
      </c>
      <c r="F51" t="s">
        <v>478</v>
      </c>
      <c r="G51" t="s">
        <v>479</v>
      </c>
      <c r="H51" t="s">
        <v>33</v>
      </c>
      <c r="I51" s="1">
        <v>42548.522291666668</v>
      </c>
      <c r="J51" s="1">
        <v>46273.785810185182</v>
      </c>
      <c r="K51" s="1">
        <v>44023.420763888891</v>
      </c>
      <c r="L51">
        <v>77550</v>
      </c>
      <c r="M51">
        <v>4792</v>
      </c>
      <c r="N51">
        <v>4792</v>
      </c>
      <c r="O51">
        <v>1179</v>
      </c>
      <c r="P51">
        <v>18</v>
      </c>
      <c r="Q51" t="s">
        <v>120</v>
      </c>
      <c r="R51" t="s">
        <v>480</v>
      </c>
      <c r="S51" t="s">
        <v>169</v>
      </c>
      <c r="T51" t="s">
        <v>195</v>
      </c>
      <c r="U51" t="b">
        <v>1</v>
      </c>
      <c r="V51" t="b">
        <v>1</v>
      </c>
      <c r="W51" t="b">
        <v>1</v>
      </c>
      <c r="X51" t="b">
        <v>1</v>
      </c>
      <c r="Y51" t="b">
        <v>0</v>
      </c>
      <c r="Z51" t="b">
        <v>0</v>
      </c>
      <c r="AA51" t="b">
        <v>0</v>
      </c>
      <c r="AB51" t="s">
        <v>35</v>
      </c>
      <c r="AC51">
        <v>3731</v>
      </c>
      <c r="AD51">
        <v>6</v>
      </c>
      <c r="AE51">
        <v>2256</v>
      </c>
      <c r="AF51">
        <v>2016</v>
      </c>
      <c r="AG51" t="s">
        <v>307</v>
      </c>
      <c r="AH51">
        <v>2026</v>
      </c>
      <c r="AI51">
        <v>75.73</v>
      </c>
      <c r="AJ51" t="s">
        <v>37</v>
      </c>
      <c r="AK51" t="s">
        <v>48</v>
      </c>
      <c r="AL51" t="s">
        <v>100</v>
      </c>
      <c r="AM51">
        <v>7150</v>
      </c>
      <c r="AN51" s="14" t="s">
        <v>832</v>
      </c>
      <c r="AO51" t="s">
        <v>48</v>
      </c>
      <c r="AP51">
        <v>0.246</v>
      </c>
      <c r="AQ51">
        <v>3.76</v>
      </c>
    </row>
    <row r="52" spans="1:43" x14ac:dyDescent="0.3">
      <c r="A52">
        <v>89276692</v>
      </c>
      <c r="B52" t="s">
        <v>481</v>
      </c>
      <c r="C52" t="s">
        <v>482</v>
      </c>
      <c r="D52" t="s">
        <v>483</v>
      </c>
      <c r="E52" t="s">
        <v>134</v>
      </c>
      <c r="F52" t="s">
        <v>484</v>
      </c>
      <c r="G52" t="s">
        <v>485</v>
      </c>
      <c r="H52" t="s">
        <v>33</v>
      </c>
      <c r="I52" s="1">
        <v>42850.02134259259</v>
      </c>
      <c r="J52" s="1">
        <v>46272.915312500001</v>
      </c>
      <c r="K52" s="1">
        <v>46272.920868055553</v>
      </c>
      <c r="L52">
        <v>190956</v>
      </c>
      <c r="M52">
        <v>4758</v>
      </c>
      <c r="N52">
        <v>4758</v>
      </c>
      <c r="O52">
        <v>253</v>
      </c>
      <c r="P52">
        <v>82</v>
      </c>
      <c r="Q52" t="s">
        <v>34</v>
      </c>
      <c r="R52" t="s">
        <v>486</v>
      </c>
      <c r="S52" t="s">
        <v>169</v>
      </c>
      <c r="T52" t="s">
        <v>487</v>
      </c>
      <c r="U52" t="b">
        <v>1</v>
      </c>
      <c r="V52" t="b">
        <v>1</v>
      </c>
      <c r="W52" t="b">
        <v>1</v>
      </c>
      <c r="X52" t="b">
        <v>1</v>
      </c>
      <c r="Y52" t="b">
        <v>0</v>
      </c>
      <c r="Z52" t="b">
        <v>0</v>
      </c>
      <c r="AA52" t="b">
        <v>0</v>
      </c>
      <c r="AB52" t="s">
        <v>35</v>
      </c>
      <c r="AC52">
        <v>3430</v>
      </c>
      <c r="AD52">
        <v>7</v>
      </c>
      <c r="AE52">
        <v>7</v>
      </c>
      <c r="AF52">
        <v>2017</v>
      </c>
      <c r="AG52" t="s">
        <v>140</v>
      </c>
      <c r="AH52">
        <v>2026</v>
      </c>
      <c r="AI52">
        <v>186.48</v>
      </c>
      <c r="AJ52" t="s">
        <v>37</v>
      </c>
      <c r="AK52" t="s">
        <v>48</v>
      </c>
      <c r="AL52" t="s">
        <v>39</v>
      </c>
      <c r="AM52">
        <v>5264</v>
      </c>
      <c r="AN52" s="14" t="s">
        <v>832</v>
      </c>
      <c r="AO52" t="s">
        <v>48</v>
      </c>
      <c r="AP52">
        <v>5.3199999999999997E-2</v>
      </c>
      <c r="AQ52">
        <v>17.23</v>
      </c>
    </row>
    <row r="53" spans="1:43" x14ac:dyDescent="0.3">
      <c r="A53">
        <v>204949916</v>
      </c>
      <c r="B53" t="s">
        <v>488</v>
      </c>
      <c r="C53" t="s">
        <v>489</v>
      </c>
      <c r="D53" t="s">
        <v>268</v>
      </c>
      <c r="E53" t="s">
        <v>117</v>
      </c>
      <c r="F53" t="s">
        <v>490</v>
      </c>
      <c r="G53" t="s">
        <v>491</v>
      </c>
      <c r="H53" t="s">
        <v>342</v>
      </c>
      <c r="I53" s="1">
        <v>43705.827372685184</v>
      </c>
      <c r="J53" s="1">
        <v>46274.041574074072</v>
      </c>
      <c r="K53" s="1">
        <v>46249.121099537035</v>
      </c>
      <c r="L53">
        <v>86537</v>
      </c>
      <c r="M53">
        <v>4683</v>
      </c>
      <c r="N53">
        <v>4683</v>
      </c>
      <c r="O53">
        <v>379</v>
      </c>
      <c r="P53">
        <v>68</v>
      </c>
      <c r="Q53" t="s">
        <v>120</v>
      </c>
      <c r="R53" t="s">
        <v>492</v>
      </c>
      <c r="S53" t="s">
        <v>357</v>
      </c>
      <c r="T53" t="s">
        <v>493</v>
      </c>
      <c r="U53" t="b">
        <v>1</v>
      </c>
      <c r="V53" t="b">
        <v>1</v>
      </c>
      <c r="W53" t="b">
        <v>1</v>
      </c>
      <c r="X53" t="b">
        <v>1</v>
      </c>
      <c r="Y53" t="b">
        <v>0</v>
      </c>
      <c r="Z53" t="b">
        <v>0</v>
      </c>
      <c r="AA53" t="b">
        <v>0</v>
      </c>
      <c r="AB53" t="s">
        <v>35</v>
      </c>
      <c r="AC53">
        <v>2574</v>
      </c>
      <c r="AD53">
        <v>6</v>
      </c>
      <c r="AE53">
        <v>31</v>
      </c>
      <c r="AF53">
        <v>2019</v>
      </c>
      <c r="AG53" t="s">
        <v>47</v>
      </c>
      <c r="AH53">
        <v>2026</v>
      </c>
      <c r="AI53">
        <v>84.51</v>
      </c>
      <c r="AJ53" t="s">
        <v>37</v>
      </c>
      <c r="AK53" t="s">
        <v>48</v>
      </c>
      <c r="AL53" t="s">
        <v>39</v>
      </c>
      <c r="AM53">
        <v>5441</v>
      </c>
      <c r="AN53" s="14" t="s">
        <v>832</v>
      </c>
      <c r="AO53" t="s">
        <v>48</v>
      </c>
      <c r="AP53">
        <v>8.09E-2</v>
      </c>
      <c r="AQ53">
        <v>14.52</v>
      </c>
    </row>
    <row r="54" spans="1:43" x14ac:dyDescent="0.3">
      <c r="A54">
        <v>158673445</v>
      </c>
      <c r="B54" t="s">
        <v>494</v>
      </c>
      <c r="C54" t="s">
        <v>495</v>
      </c>
      <c r="D54" t="s">
        <v>496</v>
      </c>
      <c r="E54" t="s">
        <v>134</v>
      </c>
      <c r="F54" t="s">
        <v>497</v>
      </c>
      <c r="G54" t="s">
        <v>498</v>
      </c>
      <c r="H54" t="s">
        <v>53</v>
      </c>
      <c r="I54" s="1">
        <v>43426.619317129633</v>
      </c>
      <c r="J54" s="1">
        <v>46274.065115740741</v>
      </c>
      <c r="K54" s="1">
        <v>46273.020428240743</v>
      </c>
      <c r="L54">
        <v>1044</v>
      </c>
      <c r="M54">
        <v>4664</v>
      </c>
      <c r="N54">
        <v>4664</v>
      </c>
      <c r="O54">
        <v>714</v>
      </c>
      <c r="P54">
        <v>0</v>
      </c>
      <c r="Q54" t="s">
        <v>120</v>
      </c>
      <c r="R54" t="s">
        <v>499</v>
      </c>
      <c r="S54" t="s">
        <v>438</v>
      </c>
      <c r="T54" t="s">
        <v>195</v>
      </c>
      <c r="U54" t="b">
        <v>1</v>
      </c>
      <c r="V54" t="b">
        <v>1</v>
      </c>
      <c r="W54" t="b">
        <v>1</v>
      </c>
      <c r="X54" t="b">
        <v>0</v>
      </c>
      <c r="Y54" t="b">
        <v>0</v>
      </c>
      <c r="Z54" t="b">
        <v>0</v>
      </c>
      <c r="AA54" t="b">
        <v>0</v>
      </c>
      <c r="AB54" t="s">
        <v>35</v>
      </c>
      <c r="AC54">
        <v>2853</v>
      </c>
      <c r="AD54">
        <v>6</v>
      </c>
      <c r="AE54">
        <v>7</v>
      </c>
      <c r="AF54">
        <v>2018</v>
      </c>
      <c r="AG54" t="s">
        <v>205</v>
      </c>
      <c r="AH54">
        <v>2026</v>
      </c>
      <c r="AI54">
        <v>1.02</v>
      </c>
      <c r="AJ54" t="s">
        <v>37</v>
      </c>
      <c r="AK54" t="s">
        <v>48</v>
      </c>
      <c r="AL54" t="s">
        <v>39</v>
      </c>
      <c r="AM54">
        <v>6092</v>
      </c>
      <c r="AN54" s="14" t="s">
        <v>832</v>
      </c>
      <c r="AO54" t="s">
        <v>48</v>
      </c>
      <c r="AP54">
        <v>0.15310000000000001</v>
      </c>
      <c r="AQ54">
        <v>0</v>
      </c>
    </row>
    <row r="55" spans="1:43" x14ac:dyDescent="0.3">
      <c r="A55">
        <v>107827601</v>
      </c>
      <c r="B55" t="s">
        <v>500</v>
      </c>
      <c r="C55" t="s">
        <v>501</v>
      </c>
      <c r="D55" t="s">
        <v>502</v>
      </c>
      <c r="E55" t="s">
        <v>134</v>
      </c>
      <c r="F55" t="s">
        <v>503</v>
      </c>
      <c r="G55" t="s">
        <v>504</v>
      </c>
      <c r="H55" t="s">
        <v>193</v>
      </c>
      <c r="I55" s="1">
        <v>43030.273564814815</v>
      </c>
      <c r="J55" s="1">
        <v>46267.345127314817</v>
      </c>
      <c r="K55" s="1">
        <v>43228.756747685184</v>
      </c>
      <c r="L55">
        <v>44923</v>
      </c>
      <c r="M55">
        <v>4652</v>
      </c>
      <c r="N55">
        <v>4652</v>
      </c>
      <c r="O55">
        <v>1607</v>
      </c>
      <c r="P55">
        <v>1</v>
      </c>
      <c r="Q55" t="s">
        <v>120</v>
      </c>
      <c r="R55" t="s">
        <v>505</v>
      </c>
      <c r="S55" t="s">
        <v>279</v>
      </c>
      <c r="T55" t="s">
        <v>195</v>
      </c>
      <c r="U55" t="b">
        <v>1</v>
      </c>
      <c r="V55" t="b">
        <v>1</v>
      </c>
      <c r="W55" t="b">
        <v>1</v>
      </c>
      <c r="X55" t="b">
        <v>0</v>
      </c>
      <c r="Y55" t="b">
        <v>0</v>
      </c>
      <c r="Z55" t="b">
        <v>0</v>
      </c>
      <c r="AA55" t="b">
        <v>0</v>
      </c>
      <c r="AB55" t="s">
        <v>35</v>
      </c>
      <c r="AC55">
        <v>3249</v>
      </c>
      <c r="AD55">
        <v>12</v>
      </c>
      <c r="AE55">
        <v>3051</v>
      </c>
      <c r="AF55">
        <v>2017</v>
      </c>
      <c r="AG55" t="s">
        <v>171</v>
      </c>
      <c r="AH55">
        <v>2026</v>
      </c>
      <c r="AI55">
        <v>43.87</v>
      </c>
      <c r="AJ55" t="s">
        <v>37</v>
      </c>
      <c r="AK55" t="s">
        <v>48</v>
      </c>
      <c r="AL55" t="s">
        <v>100</v>
      </c>
      <c r="AM55">
        <v>7866</v>
      </c>
      <c r="AN55" s="14" t="s">
        <v>832</v>
      </c>
      <c r="AO55" t="s">
        <v>38</v>
      </c>
      <c r="AP55">
        <v>0.34539999999999998</v>
      </c>
      <c r="AQ55">
        <v>0.21</v>
      </c>
    </row>
    <row r="56" spans="1:43" x14ac:dyDescent="0.3">
      <c r="A56">
        <v>1074218324</v>
      </c>
      <c r="B56" t="s">
        <v>506</v>
      </c>
      <c r="C56" t="s">
        <v>507</v>
      </c>
      <c r="D56" t="s">
        <v>508</v>
      </c>
      <c r="E56" t="s">
        <v>117</v>
      </c>
      <c r="F56" t="s">
        <v>509</v>
      </c>
      <c r="G56" t="s">
        <v>510</v>
      </c>
      <c r="H56" t="s">
        <v>33</v>
      </c>
      <c r="I56" s="1">
        <v>45941.700937499998</v>
      </c>
      <c r="J56" s="1">
        <v>46274.460393518515</v>
      </c>
      <c r="K56" s="1">
        <v>46264.567430555559</v>
      </c>
      <c r="L56">
        <v>57286</v>
      </c>
      <c r="M56">
        <v>4608</v>
      </c>
      <c r="N56">
        <v>4608</v>
      </c>
      <c r="O56">
        <v>732</v>
      </c>
      <c r="P56">
        <v>25</v>
      </c>
      <c r="Q56" t="s">
        <v>34</v>
      </c>
      <c r="R56" t="s">
        <v>511</v>
      </c>
      <c r="S56" t="s">
        <v>169</v>
      </c>
      <c r="T56" t="s">
        <v>512</v>
      </c>
      <c r="U56" t="b">
        <v>1</v>
      </c>
      <c r="V56" t="b">
        <v>1</v>
      </c>
      <c r="W56" t="b">
        <v>1</v>
      </c>
      <c r="X56" t="b">
        <v>0</v>
      </c>
      <c r="Y56" t="b">
        <v>0</v>
      </c>
      <c r="Z56" t="b">
        <v>0</v>
      </c>
      <c r="AA56" t="b">
        <v>0</v>
      </c>
      <c r="AB56" t="s">
        <v>35</v>
      </c>
      <c r="AC56">
        <v>338</v>
      </c>
      <c r="AD56">
        <v>5</v>
      </c>
      <c r="AE56">
        <v>15</v>
      </c>
      <c r="AF56">
        <v>2025</v>
      </c>
      <c r="AG56" t="s">
        <v>171</v>
      </c>
      <c r="AH56">
        <v>2026</v>
      </c>
      <c r="AI56">
        <v>55.94</v>
      </c>
      <c r="AJ56" t="s">
        <v>37</v>
      </c>
      <c r="AK56" t="s">
        <v>48</v>
      </c>
      <c r="AL56" t="s">
        <v>39</v>
      </c>
      <c r="AM56">
        <v>6072</v>
      </c>
      <c r="AN56" s="14" t="s">
        <v>832</v>
      </c>
      <c r="AO56" t="s">
        <v>48</v>
      </c>
      <c r="AP56">
        <v>0.15890000000000001</v>
      </c>
      <c r="AQ56">
        <v>5.43</v>
      </c>
    </row>
    <row r="57" spans="1:43" x14ac:dyDescent="0.3">
      <c r="A57">
        <v>296233312</v>
      </c>
      <c r="B57" t="s">
        <v>513</v>
      </c>
      <c r="C57" t="s">
        <v>514</v>
      </c>
      <c r="D57" t="s">
        <v>515</v>
      </c>
      <c r="E57" t="s">
        <v>134</v>
      </c>
      <c r="F57" t="s">
        <v>516</v>
      </c>
      <c r="G57" t="s">
        <v>517</v>
      </c>
      <c r="H57" t="s">
        <v>342</v>
      </c>
      <c r="I57" s="1">
        <v>44091.478726851848</v>
      </c>
      <c r="J57" s="1">
        <v>46273.718101851853</v>
      </c>
      <c r="K57" s="1">
        <v>46219.288460648146</v>
      </c>
      <c r="L57">
        <v>94507</v>
      </c>
      <c r="M57">
        <v>4510</v>
      </c>
      <c r="N57">
        <v>4510</v>
      </c>
      <c r="O57">
        <v>1427</v>
      </c>
      <c r="P57">
        <v>58</v>
      </c>
      <c r="Q57" t="s">
        <v>120</v>
      </c>
      <c r="R57" t="s">
        <v>518</v>
      </c>
      <c r="S57" t="s">
        <v>169</v>
      </c>
      <c r="T57" t="s">
        <v>519</v>
      </c>
      <c r="U57" t="b">
        <v>1</v>
      </c>
      <c r="V57" t="b">
        <v>1</v>
      </c>
      <c r="W57" t="b">
        <v>1</v>
      </c>
      <c r="X57" t="b">
        <v>1</v>
      </c>
      <c r="Y57" t="b">
        <v>0</v>
      </c>
      <c r="Z57" t="b">
        <v>0</v>
      </c>
      <c r="AA57" t="b">
        <v>0</v>
      </c>
      <c r="AB57" t="s">
        <v>35</v>
      </c>
      <c r="AC57">
        <v>2188</v>
      </c>
      <c r="AD57">
        <v>6</v>
      </c>
      <c r="AE57">
        <v>60</v>
      </c>
      <c r="AF57">
        <v>2020</v>
      </c>
      <c r="AG57" t="s">
        <v>36</v>
      </c>
      <c r="AH57">
        <v>2026</v>
      </c>
      <c r="AI57">
        <v>92.29</v>
      </c>
      <c r="AJ57" t="s">
        <v>37</v>
      </c>
      <c r="AK57" t="s">
        <v>48</v>
      </c>
      <c r="AL57" t="s">
        <v>39</v>
      </c>
      <c r="AM57">
        <v>7364</v>
      </c>
      <c r="AN57" s="14" t="s">
        <v>832</v>
      </c>
      <c r="AO57" t="s">
        <v>48</v>
      </c>
      <c r="AP57">
        <v>0.31640000000000001</v>
      </c>
      <c r="AQ57">
        <v>12.86</v>
      </c>
    </row>
    <row r="58" spans="1:43" x14ac:dyDescent="0.3">
      <c r="A58">
        <v>386575694</v>
      </c>
      <c r="B58" t="s">
        <v>520</v>
      </c>
      <c r="C58" t="s">
        <v>521</v>
      </c>
      <c r="D58" t="s">
        <v>522</v>
      </c>
      <c r="E58" t="s">
        <v>134</v>
      </c>
      <c r="F58" t="s">
        <v>523</v>
      </c>
      <c r="G58" t="s">
        <v>524</v>
      </c>
      <c r="H58" t="s">
        <v>33</v>
      </c>
      <c r="I58" s="1">
        <v>44393.607743055552</v>
      </c>
      <c r="J58" s="1">
        <v>46274.366273148145</v>
      </c>
      <c r="K58" s="1">
        <v>45521.10765046296</v>
      </c>
      <c r="L58">
        <v>126309</v>
      </c>
      <c r="M58">
        <v>4384</v>
      </c>
      <c r="N58">
        <v>4384</v>
      </c>
      <c r="O58">
        <v>1797</v>
      </c>
      <c r="P58">
        <v>280</v>
      </c>
      <c r="Q58" t="s">
        <v>34</v>
      </c>
      <c r="R58" t="s">
        <v>525</v>
      </c>
      <c r="S58" t="s">
        <v>169</v>
      </c>
      <c r="T58" t="s">
        <v>195</v>
      </c>
      <c r="U58" t="b">
        <v>1</v>
      </c>
      <c r="V58" t="b">
        <v>1</v>
      </c>
      <c r="W58" t="b">
        <v>1</v>
      </c>
      <c r="X58" t="b">
        <v>0</v>
      </c>
      <c r="Y58" t="b">
        <v>0</v>
      </c>
      <c r="Z58" t="b">
        <v>0</v>
      </c>
      <c r="AA58" t="b">
        <v>0</v>
      </c>
      <c r="AB58" t="s">
        <v>35</v>
      </c>
      <c r="AC58">
        <v>1886</v>
      </c>
      <c r="AD58">
        <v>5</v>
      </c>
      <c r="AE58">
        <v>759</v>
      </c>
      <c r="AF58">
        <v>2021</v>
      </c>
      <c r="AG58" t="s">
        <v>54</v>
      </c>
      <c r="AH58">
        <v>2026</v>
      </c>
      <c r="AI58">
        <v>123.35</v>
      </c>
      <c r="AJ58" t="s">
        <v>37</v>
      </c>
      <c r="AK58" t="s">
        <v>48</v>
      </c>
      <c r="AL58" t="s">
        <v>100</v>
      </c>
      <c r="AM58">
        <v>7978</v>
      </c>
      <c r="AN58" s="14" t="s">
        <v>832</v>
      </c>
      <c r="AO58" t="s">
        <v>48</v>
      </c>
      <c r="AP58">
        <v>0.40989999999999999</v>
      </c>
      <c r="AQ58">
        <v>63.87</v>
      </c>
    </row>
    <row r="59" spans="1:43" x14ac:dyDescent="0.3">
      <c r="A59">
        <v>482533450</v>
      </c>
      <c r="B59" t="s">
        <v>526</v>
      </c>
      <c r="C59" t="s">
        <v>527</v>
      </c>
      <c r="D59" t="s">
        <v>528</v>
      </c>
      <c r="E59" t="s">
        <v>134</v>
      </c>
      <c r="F59" t="s">
        <v>529</v>
      </c>
      <c r="G59" t="s">
        <v>530</v>
      </c>
      <c r="H59" t="s">
        <v>53</v>
      </c>
      <c r="I59" s="1">
        <v>44668.798831018517</v>
      </c>
      <c r="J59" s="1">
        <v>46273.91547453704</v>
      </c>
      <c r="K59" s="1">
        <v>45998.063773148147</v>
      </c>
      <c r="L59">
        <v>162995</v>
      </c>
      <c r="M59">
        <v>4358</v>
      </c>
      <c r="N59">
        <v>4358</v>
      </c>
      <c r="O59">
        <v>620</v>
      </c>
      <c r="P59">
        <v>1</v>
      </c>
      <c r="Q59" t="s">
        <v>34</v>
      </c>
      <c r="R59" t="s">
        <v>531</v>
      </c>
      <c r="S59" t="s">
        <v>169</v>
      </c>
      <c r="T59" t="s">
        <v>532</v>
      </c>
      <c r="U59" t="b">
        <v>1</v>
      </c>
      <c r="V59" t="b">
        <v>1</v>
      </c>
      <c r="W59" t="b">
        <v>1</v>
      </c>
      <c r="X59" t="b">
        <v>0</v>
      </c>
      <c r="Y59" t="b">
        <v>0</v>
      </c>
      <c r="Z59" t="b">
        <v>0</v>
      </c>
      <c r="AA59" t="b">
        <v>0</v>
      </c>
      <c r="AB59" t="s">
        <v>35</v>
      </c>
      <c r="AC59">
        <v>1611</v>
      </c>
      <c r="AD59">
        <v>6</v>
      </c>
      <c r="AE59">
        <v>282</v>
      </c>
      <c r="AF59">
        <v>2022</v>
      </c>
      <c r="AG59" t="s">
        <v>140</v>
      </c>
      <c r="AH59">
        <v>2026</v>
      </c>
      <c r="AI59">
        <v>159.16999999999999</v>
      </c>
      <c r="AJ59" t="s">
        <v>37</v>
      </c>
      <c r="AK59" t="s">
        <v>48</v>
      </c>
      <c r="AL59" t="s">
        <v>213</v>
      </c>
      <c r="AM59">
        <v>5598</v>
      </c>
      <c r="AN59" s="14" t="s">
        <v>832</v>
      </c>
      <c r="AO59" t="s">
        <v>48</v>
      </c>
      <c r="AP59">
        <v>0.14230000000000001</v>
      </c>
      <c r="AQ59">
        <v>0.23</v>
      </c>
    </row>
    <row r="60" spans="1:43" x14ac:dyDescent="0.3">
      <c r="A60">
        <v>854628278</v>
      </c>
      <c r="B60" t="s">
        <v>533</v>
      </c>
      <c r="C60" t="s">
        <v>534</v>
      </c>
      <c r="D60" t="s">
        <v>535</v>
      </c>
      <c r="E60" t="s">
        <v>117</v>
      </c>
      <c r="F60" t="s">
        <v>536</v>
      </c>
      <c r="G60" t="s">
        <v>537</v>
      </c>
      <c r="H60" t="s">
        <v>342</v>
      </c>
      <c r="I60" s="1">
        <v>45544.815706018519</v>
      </c>
      <c r="J60" s="1">
        <v>46274.286226851851</v>
      </c>
      <c r="K60" s="1">
        <v>45876.784780092596</v>
      </c>
      <c r="L60">
        <v>68271</v>
      </c>
      <c r="M60">
        <v>4324</v>
      </c>
      <c r="N60">
        <v>4324</v>
      </c>
      <c r="O60">
        <v>290</v>
      </c>
      <c r="P60">
        <v>70</v>
      </c>
      <c r="Q60" t="s">
        <v>34</v>
      </c>
      <c r="R60" t="s">
        <v>538</v>
      </c>
      <c r="S60" t="s">
        <v>357</v>
      </c>
      <c r="T60" t="s">
        <v>539</v>
      </c>
      <c r="U60" t="b">
        <v>1</v>
      </c>
      <c r="V60" t="b">
        <v>1</v>
      </c>
      <c r="W60" t="b">
        <v>0</v>
      </c>
      <c r="X60" t="b">
        <v>0</v>
      </c>
      <c r="Y60" t="b">
        <v>0</v>
      </c>
      <c r="Z60" t="b">
        <v>0</v>
      </c>
      <c r="AA60" t="b">
        <v>0</v>
      </c>
      <c r="AB60" t="s">
        <v>35</v>
      </c>
      <c r="AC60">
        <v>735</v>
      </c>
      <c r="AD60">
        <v>5</v>
      </c>
      <c r="AE60">
        <v>403</v>
      </c>
      <c r="AF60">
        <v>2024</v>
      </c>
      <c r="AG60" t="s">
        <v>36</v>
      </c>
      <c r="AH60">
        <v>2026</v>
      </c>
      <c r="AI60">
        <v>66.67</v>
      </c>
      <c r="AJ60" t="s">
        <v>37</v>
      </c>
      <c r="AK60" t="s">
        <v>48</v>
      </c>
      <c r="AL60" t="s">
        <v>100</v>
      </c>
      <c r="AM60">
        <v>4904</v>
      </c>
      <c r="AN60" s="14" t="s">
        <v>832</v>
      </c>
      <c r="AO60" t="s">
        <v>48</v>
      </c>
      <c r="AP60">
        <v>6.7100000000000007E-2</v>
      </c>
      <c r="AQ60">
        <v>16.190000000000001</v>
      </c>
    </row>
    <row r="61" spans="1:43" x14ac:dyDescent="0.3">
      <c r="A61">
        <v>612750561</v>
      </c>
      <c r="B61" t="s">
        <v>540</v>
      </c>
      <c r="C61" t="s">
        <v>541</v>
      </c>
      <c r="D61" t="s">
        <v>542</v>
      </c>
      <c r="E61" t="s">
        <v>134</v>
      </c>
      <c r="F61" t="s">
        <v>543</v>
      </c>
      <c r="G61" t="s">
        <v>544</v>
      </c>
      <c r="H61" t="s">
        <v>342</v>
      </c>
      <c r="I61" s="1">
        <v>44997.12703703704</v>
      </c>
      <c r="J61" s="1">
        <v>46273.858900462961</v>
      </c>
      <c r="K61" s="1">
        <v>45844.261377314811</v>
      </c>
      <c r="L61">
        <v>4284</v>
      </c>
      <c r="M61">
        <v>4321</v>
      </c>
      <c r="N61">
        <v>4321</v>
      </c>
      <c r="O61">
        <v>375</v>
      </c>
      <c r="P61">
        <v>7</v>
      </c>
      <c r="Q61" t="s">
        <v>34</v>
      </c>
      <c r="R61" t="s">
        <v>545</v>
      </c>
      <c r="S61" t="s">
        <v>169</v>
      </c>
      <c r="T61" t="s">
        <v>546</v>
      </c>
      <c r="U61" t="b">
        <v>1</v>
      </c>
      <c r="V61" t="b">
        <v>1</v>
      </c>
      <c r="W61" t="b">
        <v>0</v>
      </c>
      <c r="X61" t="b">
        <v>0</v>
      </c>
      <c r="Y61" t="b">
        <v>0</v>
      </c>
      <c r="Z61" t="b">
        <v>0</v>
      </c>
      <c r="AA61" t="b">
        <v>0</v>
      </c>
      <c r="AB61" t="s">
        <v>35</v>
      </c>
      <c r="AC61">
        <v>1283</v>
      </c>
      <c r="AD61">
        <v>6</v>
      </c>
      <c r="AE61">
        <v>435</v>
      </c>
      <c r="AF61">
        <v>2023</v>
      </c>
      <c r="AG61" t="s">
        <v>196</v>
      </c>
      <c r="AH61">
        <v>2026</v>
      </c>
      <c r="AI61">
        <v>4.18</v>
      </c>
      <c r="AJ61" t="s">
        <v>37</v>
      </c>
      <c r="AK61" t="s">
        <v>48</v>
      </c>
      <c r="AL61" t="s">
        <v>100</v>
      </c>
      <c r="AM61">
        <v>5071</v>
      </c>
      <c r="AN61" s="14" t="s">
        <v>832</v>
      </c>
      <c r="AO61" t="s">
        <v>48</v>
      </c>
      <c r="AP61">
        <v>8.6800000000000002E-2</v>
      </c>
      <c r="AQ61">
        <v>1.62</v>
      </c>
    </row>
    <row r="62" spans="1:43" x14ac:dyDescent="0.3">
      <c r="A62">
        <v>280508180</v>
      </c>
      <c r="B62" t="s">
        <v>547</v>
      </c>
      <c r="C62" t="s">
        <v>548</v>
      </c>
      <c r="D62" t="s">
        <v>549</v>
      </c>
      <c r="E62" t="s">
        <v>117</v>
      </c>
      <c r="F62" t="s">
        <v>550</v>
      </c>
      <c r="G62" t="s">
        <v>551</v>
      </c>
      <c r="H62" t="s">
        <v>193</v>
      </c>
      <c r="I62" s="1">
        <v>44030.038506944446</v>
      </c>
      <c r="J62" s="1">
        <v>46268.594722222224</v>
      </c>
      <c r="K62" s="1">
        <v>45994.133356481485</v>
      </c>
      <c r="L62">
        <v>141605</v>
      </c>
      <c r="M62">
        <v>4219</v>
      </c>
      <c r="N62">
        <v>4219</v>
      </c>
      <c r="O62">
        <v>1059</v>
      </c>
      <c r="P62">
        <v>6</v>
      </c>
      <c r="Q62" t="s">
        <v>120</v>
      </c>
      <c r="R62" t="s">
        <v>552</v>
      </c>
      <c r="S62" t="s">
        <v>279</v>
      </c>
      <c r="T62" t="s">
        <v>553</v>
      </c>
      <c r="U62" t="b">
        <v>1</v>
      </c>
      <c r="V62" t="b">
        <v>1</v>
      </c>
      <c r="W62" t="b">
        <v>1</v>
      </c>
      <c r="X62" t="b">
        <v>1</v>
      </c>
      <c r="Y62" t="b">
        <v>0</v>
      </c>
      <c r="Z62" t="b">
        <v>1</v>
      </c>
      <c r="AA62" t="b">
        <v>0</v>
      </c>
      <c r="AB62" t="s">
        <v>35</v>
      </c>
      <c r="AC62">
        <v>2250</v>
      </c>
      <c r="AD62">
        <v>11</v>
      </c>
      <c r="AE62">
        <v>286</v>
      </c>
      <c r="AF62">
        <v>2020</v>
      </c>
      <c r="AG62" t="s">
        <v>54</v>
      </c>
      <c r="AH62">
        <v>2026</v>
      </c>
      <c r="AI62">
        <v>138.29</v>
      </c>
      <c r="AJ62" t="s">
        <v>37</v>
      </c>
      <c r="AK62" t="s">
        <v>48</v>
      </c>
      <c r="AL62" t="s">
        <v>213</v>
      </c>
      <c r="AM62">
        <v>6337</v>
      </c>
      <c r="AN62" s="14" t="s">
        <v>832</v>
      </c>
      <c r="AO62" t="s">
        <v>38</v>
      </c>
      <c r="AP62">
        <v>0.251</v>
      </c>
      <c r="AQ62">
        <v>1.42</v>
      </c>
    </row>
    <row r="63" spans="1:43" x14ac:dyDescent="0.3">
      <c r="A63">
        <v>54834492</v>
      </c>
      <c r="B63" t="s">
        <v>554</v>
      </c>
      <c r="C63" t="s">
        <v>555</v>
      </c>
      <c r="D63" t="s">
        <v>556</v>
      </c>
      <c r="E63" t="s">
        <v>134</v>
      </c>
      <c r="F63" t="s">
        <v>557</v>
      </c>
      <c r="G63" t="s">
        <v>558</v>
      </c>
      <c r="H63" t="s">
        <v>33</v>
      </c>
      <c r="I63" s="1">
        <v>42456.867245370369</v>
      </c>
      <c r="J63" s="1">
        <v>46273.641064814816</v>
      </c>
      <c r="K63" s="1">
        <v>45427.000150462962</v>
      </c>
      <c r="L63">
        <v>10860</v>
      </c>
      <c r="M63">
        <v>4214</v>
      </c>
      <c r="N63">
        <v>4214</v>
      </c>
      <c r="O63">
        <v>521</v>
      </c>
      <c r="P63">
        <v>14</v>
      </c>
      <c r="Q63" t="s">
        <v>120</v>
      </c>
      <c r="R63" t="s">
        <v>559</v>
      </c>
      <c r="S63" t="s">
        <v>169</v>
      </c>
      <c r="T63" t="s">
        <v>195</v>
      </c>
      <c r="U63" t="b">
        <v>1</v>
      </c>
      <c r="V63" t="b">
        <v>1</v>
      </c>
      <c r="W63" t="b">
        <v>1</v>
      </c>
      <c r="X63" t="b">
        <v>0</v>
      </c>
      <c r="Y63" t="b">
        <v>0</v>
      </c>
      <c r="Z63" t="b">
        <v>0</v>
      </c>
      <c r="AA63" t="b">
        <v>0</v>
      </c>
      <c r="AB63" t="s">
        <v>35</v>
      </c>
      <c r="AC63">
        <v>3823</v>
      </c>
      <c r="AD63">
        <v>6</v>
      </c>
      <c r="AE63">
        <v>853</v>
      </c>
      <c r="AF63">
        <v>2016</v>
      </c>
      <c r="AG63" t="s">
        <v>196</v>
      </c>
      <c r="AH63">
        <v>2026</v>
      </c>
      <c r="AI63">
        <v>10.61</v>
      </c>
      <c r="AJ63" t="s">
        <v>37</v>
      </c>
      <c r="AK63" t="s">
        <v>48</v>
      </c>
      <c r="AL63" t="s">
        <v>100</v>
      </c>
      <c r="AM63">
        <v>5256</v>
      </c>
      <c r="AN63" s="14" t="s">
        <v>832</v>
      </c>
      <c r="AO63" t="s">
        <v>48</v>
      </c>
      <c r="AP63">
        <v>0.1236</v>
      </c>
      <c r="AQ63">
        <v>3.32</v>
      </c>
    </row>
    <row r="64" spans="1:43" x14ac:dyDescent="0.3">
      <c r="A64">
        <v>1078317722</v>
      </c>
      <c r="B64" t="s">
        <v>560</v>
      </c>
      <c r="C64" t="s">
        <v>561</v>
      </c>
      <c r="D64" t="s">
        <v>562</v>
      </c>
      <c r="E64" t="s">
        <v>134</v>
      </c>
      <c r="F64" t="s">
        <v>563</v>
      </c>
      <c r="G64" t="s">
        <v>564</v>
      </c>
      <c r="H64" t="s">
        <v>53</v>
      </c>
      <c r="I64" s="1">
        <v>45947.84070601852</v>
      </c>
      <c r="J64" s="1">
        <v>46274.508599537039</v>
      </c>
      <c r="K64" s="1">
        <v>46101.820428240739</v>
      </c>
      <c r="L64">
        <v>45165</v>
      </c>
      <c r="M64">
        <v>3799</v>
      </c>
      <c r="N64">
        <v>3799</v>
      </c>
      <c r="O64">
        <v>682</v>
      </c>
      <c r="P64">
        <v>31</v>
      </c>
      <c r="Q64" t="s">
        <v>34</v>
      </c>
      <c r="R64" t="s">
        <v>565</v>
      </c>
      <c r="S64" t="s">
        <v>169</v>
      </c>
      <c r="T64" t="s">
        <v>195</v>
      </c>
      <c r="U64" t="b">
        <v>1</v>
      </c>
      <c r="V64" t="b">
        <v>1</v>
      </c>
      <c r="W64" t="b">
        <v>1</v>
      </c>
      <c r="X64" t="b">
        <v>0</v>
      </c>
      <c r="Y64" t="b">
        <v>0</v>
      </c>
      <c r="Z64" t="b">
        <v>0</v>
      </c>
      <c r="AA64" t="b">
        <v>0</v>
      </c>
      <c r="AB64" t="s">
        <v>35</v>
      </c>
      <c r="AC64">
        <v>332</v>
      </c>
      <c r="AD64">
        <v>5</v>
      </c>
      <c r="AE64">
        <v>178</v>
      </c>
      <c r="AF64">
        <v>2025</v>
      </c>
      <c r="AG64" t="s">
        <v>171</v>
      </c>
      <c r="AH64">
        <v>2026</v>
      </c>
      <c r="AI64">
        <v>44.11</v>
      </c>
      <c r="AJ64" t="s">
        <v>37</v>
      </c>
      <c r="AK64" t="s">
        <v>48</v>
      </c>
      <c r="AL64" t="s">
        <v>39</v>
      </c>
      <c r="AM64">
        <v>5163</v>
      </c>
      <c r="AN64" s="14" t="s">
        <v>832</v>
      </c>
      <c r="AO64" t="s">
        <v>48</v>
      </c>
      <c r="AP64">
        <v>0.17949999999999999</v>
      </c>
      <c r="AQ64">
        <v>8.16</v>
      </c>
    </row>
    <row r="65" spans="1:43" x14ac:dyDescent="0.3">
      <c r="A65">
        <v>48880766</v>
      </c>
      <c r="B65" t="s">
        <v>566</v>
      </c>
      <c r="C65" t="s">
        <v>567</v>
      </c>
      <c r="D65" t="s">
        <v>568</v>
      </c>
      <c r="E65" t="s">
        <v>117</v>
      </c>
      <c r="F65" t="s">
        <v>569</v>
      </c>
      <c r="G65" t="s">
        <v>570</v>
      </c>
      <c r="H65" t="s">
        <v>225</v>
      </c>
      <c r="I65" s="1">
        <v>42370.853101851855</v>
      </c>
      <c r="J65" s="1">
        <v>46266.383449074077</v>
      </c>
      <c r="K65" s="1">
        <v>46242.470081018517</v>
      </c>
      <c r="L65">
        <v>66328</v>
      </c>
      <c r="M65">
        <v>3764</v>
      </c>
      <c r="N65">
        <v>3764</v>
      </c>
      <c r="O65">
        <v>646</v>
      </c>
      <c r="P65">
        <v>147</v>
      </c>
      <c r="Q65" t="s">
        <v>120</v>
      </c>
      <c r="R65" t="s">
        <v>571</v>
      </c>
      <c r="S65" t="s">
        <v>122</v>
      </c>
      <c r="T65" t="s">
        <v>572</v>
      </c>
      <c r="U65" t="b">
        <v>1</v>
      </c>
      <c r="V65" t="b">
        <v>1</v>
      </c>
      <c r="W65" t="b">
        <v>1</v>
      </c>
      <c r="X65" t="b">
        <v>1</v>
      </c>
      <c r="Y65" t="b">
        <v>0</v>
      </c>
      <c r="Z65" t="b">
        <v>0</v>
      </c>
      <c r="AA65" t="b">
        <v>0</v>
      </c>
      <c r="AB65" t="s">
        <v>35</v>
      </c>
      <c r="AC65">
        <v>3909</v>
      </c>
      <c r="AD65">
        <v>13</v>
      </c>
      <c r="AE65">
        <v>37</v>
      </c>
      <c r="AF65">
        <v>2016</v>
      </c>
      <c r="AG65" t="s">
        <v>281</v>
      </c>
      <c r="AH65">
        <v>2026</v>
      </c>
      <c r="AI65">
        <v>64.77</v>
      </c>
      <c r="AJ65" t="s">
        <v>37</v>
      </c>
      <c r="AK65" t="s">
        <v>48</v>
      </c>
      <c r="AL65" t="s">
        <v>39</v>
      </c>
      <c r="AM65">
        <v>5056</v>
      </c>
      <c r="AN65" s="14" t="s">
        <v>832</v>
      </c>
      <c r="AO65" t="s">
        <v>48</v>
      </c>
      <c r="AP65">
        <v>0.1716</v>
      </c>
      <c r="AQ65">
        <v>39.049999999999997</v>
      </c>
    </row>
    <row r="66" spans="1:43" x14ac:dyDescent="0.3">
      <c r="A66">
        <v>649609017</v>
      </c>
      <c r="B66" t="s">
        <v>573</v>
      </c>
      <c r="C66" t="s">
        <v>574</v>
      </c>
      <c r="D66" t="s">
        <v>575</v>
      </c>
      <c r="E66" t="s">
        <v>117</v>
      </c>
      <c r="F66" t="s">
        <v>576</v>
      </c>
      <c r="G66" t="s">
        <v>577</v>
      </c>
      <c r="H66" t="s">
        <v>342</v>
      </c>
      <c r="I66" s="1">
        <v>45082.598356481481</v>
      </c>
      <c r="J66" s="1">
        <v>46273.932083333333</v>
      </c>
      <c r="K66" s="1">
        <v>46268.566307870373</v>
      </c>
      <c r="L66">
        <v>170315</v>
      </c>
      <c r="M66">
        <v>3657</v>
      </c>
      <c r="N66">
        <v>3657</v>
      </c>
      <c r="O66">
        <v>489</v>
      </c>
      <c r="P66">
        <v>545</v>
      </c>
      <c r="Q66" t="s">
        <v>160</v>
      </c>
      <c r="R66" t="s">
        <v>578</v>
      </c>
      <c r="S66" t="s">
        <v>169</v>
      </c>
      <c r="T66" t="s">
        <v>579</v>
      </c>
      <c r="U66" t="b">
        <v>1</v>
      </c>
      <c r="V66" t="b">
        <v>1</v>
      </c>
      <c r="W66" t="b">
        <v>1</v>
      </c>
      <c r="X66" t="b">
        <v>0</v>
      </c>
      <c r="Y66" t="b">
        <v>0</v>
      </c>
      <c r="Z66" t="b">
        <v>0</v>
      </c>
      <c r="AA66" t="b">
        <v>0</v>
      </c>
      <c r="AB66" t="s">
        <v>35</v>
      </c>
      <c r="AC66">
        <v>1197</v>
      </c>
      <c r="AD66">
        <v>6</v>
      </c>
      <c r="AE66">
        <v>11</v>
      </c>
      <c r="AF66">
        <v>2023</v>
      </c>
      <c r="AG66" t="s">
        <v>307</v>
      </c>
      <c r="AH66">
        <v>2026</v>
      </c>
      <c r="AI66">
        <v>166.32</v>
      </c>
      <c r="AJ66" t="s">
        <v>37</v>
      </c>
      <c r="AK66" t="s">
        <v>48</v>
      </c>
      <c r="AL66" t="s">
        <v>39</v>
      </c>
      <c r="AM66">
        <v>4635</v>
      </c>
      <c r="AN66" s="14" t="s">
        <v>832</v>
      </c>
      <c r="AO66" t="s">
        <v>48</v>
      </c>
      <c r="AP66">
        <v>0.13370000000000001</v>
      </c>
      <c r="AQ66">
        <v>149.03</v>
      </c>
    </row>
    <row r="67" spans="1:43" x14ac:dyDescent="0.3">
      <c r="A67">
        <v>786187721</v>
      </c>
      <c r="B67" t="s">
        <v>580</v>
      </c>
      <c r="C67" t="s">
        <v>581</v>
      </c>
      <c r="D67" t="s">
        <v>582</v>
      </c>
      <c r="E67" t="s">
        <v>117</v>
      </c>
      <c r="F67" t="s">
        <v>583</v>
      </c>
      <c r="G67" t="s">
        <v>584</v>
      </c>
      <c r="H67" t="s">
        <v>33</v>
      </c>
      <c r="I67" s="1">
        <v>45395.954606481479</v>
      </c>
      <c r="J67" s="1">
        <v>46273.431215277778</v>
      </c>
      <c r="K67" s="1">
        <v>46266.008194444446</v>
      </c>
      <c r="L67">
        <v>50894</v>
      </c>
      <c r="M67">
        <v>3637</v>
      </c>
      <c r="N67">
        <v>3637</v>
      </c>
      <c r="O67">
        <v>159</v>
      </c>
      <c r="P67">
        <v>75</v>
      </c>
      <c r="Q67" t="s">
        <v>34</v>
      </c>
      <c r="R67" t="s">
        <v>585</v>
      </c>
      <c r="S67" t="s">
        <v>122</v>
      </c>
      <c r="T67" t="s">
        <v>586</v>
      </c>
      <c r="U67" t="b">
        <v>1</v>
      </c>
      <c r="V67" t="b">
        <v>1</v>
      </c>
      <c r="W67" t="b">
        <v>1</v>
      </c>
      <c r="X67" t="b">
        <v>0</v>
      </c>
      <c r="Y67" t="b">
        <v>0</v>
      </c>
      <c r="Z67" t="b">
        <v>0</v>
      </c>
      <c r="AA67" t="b">
        <v>0</v>
      </c>
      <c r="AB67" t="s">
        <v>35</v>
      </c>
      <c r="AC67">
        <v>884</v>
      </c>
      <c r="AD67">
        <v>6</v>
      </c>
      <c r="AE67">
        <v>14</v>
      </c>
      <c r="AF67">
        <v>2024</v>
      </c>
      <c r="AG67" t="s">
        <v>140</v>
      </c>
      <c r="AH67">
        <v>2026</v>
      </c>
      <c r="AI67">
        <v>49.7</v>
      </c>
      <c r="AJ67" t="s">
        <v>37</v>
      </c>
      <c r="AK67" t="s">
        <v>48</v>
      </c>
      <c r="AL67" t="s">
        <v>39</v>
      </c>
      <c r="AM67">
        <v>3955</v>
      </c>
      <c r="AN67" s="14" t="s">
        <v>832</v>
      </c>
      <c r="AO67" t="s">
        <v>48</v>
      </c>
      <c r="AP67">
        <v>4.3700000000000003E-2</v>
      </c>
      <c r="AQ67">
        <v>20.62</v>
      </c>
    </row>
    <row r="68" spans="1:43" x14ac:dyDescent="0.3">
      <c r="A68">
        <v>114992691</v>
      </c>
      <c r="B68" t="s">
        <v>587</v>
      </c>
      <c r="C68" t="s">
        <v>588</v>
      </c>
      <c r="D68" t="s">
        <v>589</v>
      </c>
      <c r="E68" t="s">
        <v>134</v>
      </c>
      <c r="F68" t="s">
        <v>590</v>
      </c>
      <c r="G68" t="s">
        <v>591</v>
      </c>
      <c r="H68" t="s">
        <v>53</v>
      </c>
      <c r="I68" s="1">
        <v>43090.658252314817</v>
      </c>
      <c r="J68" s="1">
        <v>46274.017824074072</v>
      </c>
      <c r="K68" s="1">
        <v>46125.531307870369</v>
      </c>
      <c r="L68">
        <v>1549</v>
      </c>
      <c r="M68">
        <v>3583</v>
      </c>
      <c r="N68">
        <v>3583</v>
      </c>
      <c r="O68">
        <v>464</v>
      </c>
      <c r="P68">
        <v>21</v>
      </c>
      <c r="Q68" t="s">
        <v>120</v>
      </c>
      <c r="R68" t="s">
        <v>592</v>
      </c>
      <c r="S68" t="s">
        <v>593</v>
      </c>
      <c r="T68" t="s">
        <v>594</v>
      </c>
      <c r="U68" t="b">
        <v>1</v>
      </c>
      <c r="V68" t="b">
        <v>1</v>
      </c>
      <c r="W68" t="b">
        <v>1</v>
      </c>
      <c r="X68" t="b">
        <v>1</v>
      </c>
      <c r="Y68" t="b">
        <v>0</v>
      </c>
      <c r="Z68" t="b">
        <v>0</v>
      </c>
      <c r="AA68" t="b">
        <v>0</v>
      </c>
      <c r="AB68" t="s">
        <v>35</v>
      </c>
      <c r="AC68">
        <v>3189</v>
      </c>
      <c r="AD68">
        <v>6</v>
      </c>
      <c r="AE68">
        <v>154</v>
      </c>
      <c r="AF68">
        <v>2017</v>
      </c>
      <c r="AG68" t="s">
        <v>179</v>
      </c>
      <c r="AH68">
        <v>2026</v>
      </c>
      <c r="AI68">
        <v>1.51</v>
      </c>
      <c r="AJ68" t="s">
        <v>37</v>
      </c>
      <c r="AK68" t="s">
        <v>48</v>
      </c>
      <c r="AL68" t="s">
        <v>39</v>
      </c>
      <c r="AM68">
        <v>4511</v>
      </c>
      <c r="AN68" s="14" t="s">
        <v>832</v>
      </c>
      <c r="AO68" t="s">
        <v>48</v>
      </c>
      <c r="AP68">
        <v>0.1295</v>
      </c>
      <c r="AQ68">
        <v>5.86</v>
      </c>
    </row>
    <row r="69" spans="1:43" x14ac:dyDescent="0.3">
      <c r="A69">
        <v>188880197</v>
      </c>
      <c r="B69" t="s">
        <v>595</v>
      </c>
      <c r="C69" t="s">
        <v>596</v>
      </c>
      <c r="D69" t="s">
        <v>597</v>
      </c>
      <c r="E69" t="s">
        <v>117</v>
      </c>
      <c r="F69" t="s">
        <v>598</v>
      </c>
      <c r="G69" t="s">
        <v>599</v>
      </c>
      <c r="H69" t="s">
        <v>193</v>
      </c>
      <c r="I69" s="1">
        <v>43612.934201388889</v>
      </c>
      <c r="J69" s="1">
        <v>46270.181041666663</v>
      </c>
      <c r="K69" s="1">
        <v>45499.548368055555</v>
      </c>
      <c r="L69">
        <v>13331</v>
      </c>
      <c r="M69">
        <v>3545</v>
      </c>
      <c r="N69">
        <v>3545</v>
      </c>
      <c r="O69">
        <v>457</v>
      </c>
      <c r="P69">
        <v>0</v>
      </c>
      <c r="Q69" t="s">
        <v>34</v>
      </c>
      <c r="R69" t="s">
        <v>600</v>
      </c>
      <c r="S69" t="s">
        <v>122</v>
      </c>
      <c r="T69" t="s">
        <v>601</v>
      </c>
      <c r="U69" t="b">
        <v>1</v>
      </c>
      <c r="V69" t="b">
        <v>0</v>
      </c>
      <c r="W69" t="b">
        <v>0</v>
      </c>
      <c r="X69" t="b">
        <v>0</v>
      </c>
      <c r="Y69" t="b">
        <v>0</v>
      </c>
      <c r="Z69" t="b">
        <v>0</v>
      </c>
      <c r="AA69" t="b">
        <v>0</v>
      </c>
      <c r="AB69" t="s">
        <v>35</v>
      </c>
      <c r="AC69">
        <v>2667</v>
      </c>
      <c r="AD69">
        <v>10</v>
      </c>
      <c r="AE69">
        <v>780</v>
      </c>
      <c r="AF69">
        <v>2019</v>
      </c>
      <c r="AG69" t="s">
        <v>323</v>
      </c>
      <c r="AH69">
        <v>2026</v>
      </c>
      <c r="AI69">
        <v>13.02</v>
      </c>
      <c r="AJ69" t="s">
        <v>37</v>
      </c>
      <c r="AK69" t="s">
        <v>48</v>
      </c>
      <c r="AL69" t="s">
        <v>100</v>
      </c>
      <c r="AM69">
        <v>4459</v>
      </c>
      <c r="AN69" s="14" t="s">
        <v>832</v>
      </c>
      <c r="AO69" t="s">
        <v>48</v>
      </c>
      <c r="AP69">
        <v>0.12889999999999999</v>
      </c>
      <c r="AQ69">
        <v>0</v>
      </c>
    </row>
    <row r="70" spans="1:43" x14ac:dyDescent="0.3">
      <c r="A70">
        <v>71822014</v>
      </c>
      <c r="B70" t="s">
        <v>602</v>
      </c>
      <c r="C70" t="s">
        <v>603</v>
      </c>
      <c r="D70" t="s">
        <v>604</v>
      </c>
      <c r="E70" t="s">
        <v>134</v>
      </c>
      <c r="F70" t="s">
        <v>605</v>
      </c>
      <c r="G70" t="s">
        <v>606</v>
      </c>
      <c r="H70" t="s">
        <v>342</v>
      </c>
      <c r="I70" s="1">
        <v>42668.020185185182</v>
      </c>
      <c r="J70" s="1">
        <v>46271.2655787037</v>
      </c>
      <c r="K70" s="1">
        <v>45722.177847222221</v>
      </c>
      <c r="L70">
        <v>29291</v>
      </c>
      <c r="M70">
        <v>3478</v>
      </c>
      <c r="N70">
        <v>3478</v>
      </c>
      <c r="O70">
        <v>134</v>
      </c>
      <c r="P70">
        <v>166</v>
      </c>
      <c r="Q70" t="s">
        <v>120</v>
      </c>
      <c r="R70" t="s">
        <v>607</v>
      </c>
      <c r="S70" t="s">
        <v>169</v>
      </c>
      <c r="T70" t="s">
        <v>608</v>
      </c>
      <c r="U70" t="b">
        <v>1</v>
      </c>
      <c r="V70" t="b">
        <v>1</v>
      </c>
      <c r="W70" t="b">
        <v>1</v>
      </c>
      <c r="X70" t="b">
        <v>1</v>
      </c>
      <c r="Y70" t="b">
        <v>0</v>
      </c>
      <c r="Z70" t="b">
        <v>0</v>
      </c>
      <c r="AA70" t="b">
        <v>0</v>
      </c>
      <c r="AB70" t="s">
        <v>35</v>
      </c>
      <c r="AC70">
        <v>3612</v>
      </c>
      <c r="AD70">
        <v>8</v>
      </c>
      <c r="AE70">
        <v>558</v>
      </c>
      <c r="AF70">
        <v>2016</v>
      </c>
      <c r="AG70" t="s">
        <v>171</v>
      </c>
      <c r="AH70">
        <v>2026</v>
      </c>
      <c r="AI70">
        <v>28.6</v>
      </c>
      <c r="AJ70" t="s">
        <v>37</v>
      </c>
      <c r="AK70" t="s">
        <v>48</v>
      </c>
      <c r="AL70" t="s">
        <v>100</v>
      </c>
      <c r="AM70">
        <v>3746</v>
      </c>
      <c r="AN70" s="14" t="s">
        <v>832</v>
      </c>
      <c r="AO70" t="s">
        <v>48</v>
      </c>
      <c r="AP70">
        <v>3.85E-2</v>
      </c>
      <c r="AQ70">
        <v>47.73</v>
      </c>
    </row>
    <row r="71" spans="1:43" x14ac:dyDescent="0.3">
      <c r="A71">
        <v>10994345</v>
      </c>
      <c r="B71" t="s">
        <v>609</v>
      </c>
      <c r="C71" t="s">
        <v>610</v>
      </c>
      <c r="D71" t="s">
        <v>611</v>
      </c>
      <c r="E71" t="s">
        <v>117</v>
      </c>
      <c r="F71" t="s">
        <v>612</v>
      </c>
      <c r="G71" t="s">
        <v>613</v>
      </c>
      <c r="H71" t="s">
        <v>320</v>
      </c>
      <c r="I71" s="1">
        <v>41452.678460648145</v>
      </c>
      <c r="J71" s="1">
        <v>46274.505057870374</v>
      </c>
      <c r="K71" s="1">
        <v>46274.504826388889</v>
      </c>
      <c r="L71">
        <v>1590078</v>
      </c>
      <c r="M71">
        <v>3292</v>
      </c>
      <c r="N71">
        <v>3292</v>
      </c>
      <c r="O71">
        <v>1555</v>
      </c>
      <c r="P71">
        <v>650</v>
      </c>
      <c r="Q71" t="s">
        <v>120</v>
      </c>
      <c r="R71" t="s">
        <v>614</v>
      </c>
      <c r="S71" t="s">
        <v>154</v>
      </c>
      <c r="T71" t="s">
        <v>615</v>
      </c>
      <c r="U71" t="b">
        <v>1</v>
      </c>
      <c r="V71" t="b">
        <v>1</v>
      </c>
      <c r="W71" t="b">
        <v>0</v>
      </c>
      <c r="X71" t="b">
        <v>0</v>
      </c>
      <c r="Y71" t="b">
        <v>0</v>
      </c>
      <c r="Z71" t="b">
        <v>0</v>
      </c>
      <c r="AA71" t="b">
        <v>0</v>
      </c>
      <c r="AB71" t="s">
        <v>35</v>
      </c>
      <c r="AC71">
        <v>4827</v>
      </c>
      <c r="AD71">
        <v>5</v>
      </c>
      <c r="AE71">
        <v>5</v>
      </c>
      <c r="AF71">
        <v>2013</v>
      </c>
      <c r="AG71" t="s">
        <v>307</v>
      </c>
      <c r="AH71">
        <v>2026</v>
      </c>
      <c r="AI71">
        <v>1552.81</v>
      </c>
      <c r="AJ71" t="s">
        <v>37</v>
      </c>
      <c r="AK71" t="s">
        <v>48</v>
      </c>
      <c r="AL71" t="s">
        <v>39</v>
      </c>
      <c r="AM71">
        <v>6402</v>
      </c>
      <c r="AN71" s="14" t="s">
        <v>832</v>
      </c>
      <c r="AO71" t="s">
        <v>48</v>
      </c>
      <c r="AP71">
        <v>0.47239999999999999</v>
      </c>
      <c r="AQ71">
        <v>197.45</v>
      </c>
    </row>
    <row r="72" spans="1:43" x14ac:dyDescent="0.3">
      <c r="A72">
        <v>29273084</v>
      </c>
      <c r="B72" t="s">
        <v>616</v>
      </c>
      <c r="C72" t="s">
        <v>617</v>
      </c>
      <c r="D72" t="s">
        <v>618</v>
      </c>
      <c r="E72" t="s">
        <v>117</v>
      </c>
      <c r="F72" t="s">
        <v>619</v>
      </c>
      <c r="G72" t="s">
        <v>620</v>
      </c>
      <c r="H72" t="s">
        <v>33</v>
      </c>
      <c r="I72" s="1">
        <v>42019.252997685187</v>
      </c>
      <c r="J72" s="1">
        <v>46272.747650462959</v>
      </c>
      <c r="K72" s="1">
        <v>46224.582002314812</v>
      </c>
      <c r="L72">
        <v>14783</v>
      </c>
      <c r="M72">
        <v>3263</v>
      </c>
      <c r="N72">
        <v>3263</v>
      </c>
      <c r="O72">
        <v>692</v>
      </c>
      <c r="P72">
        <v>147</v>
      </c>
      <c r="Q72" t="s">
        <v>34</v>
      </c>
      <c r="R72" t="s">
        <v>621</v>
      </c>
      <c r="S72" t="s">
        <v>154</v>
      </c>
      <c r="T72" t="s">
        <v>622</v>
      </c>
      <c r="U72" t="b">
        <v>1</v>
      </c>
      <c r="V72" t="b">
        <v>1</v>
      </c>
      <c r="W72" t="b">
        <v>1</v>
      </c>
      <c r="X72" t="b">
        <v>1</v>
      </c>
      <c r="Y72" t="b">
        <v>0</v>
      </c>
      <c r="Z72" t="b">
        <v>0</v>
      </c>
      <c r="AA72" t="b">
        <v>0</v>
      </c>
      <c r="AB72" t="s">
        <v>35</v>
      </c>
      <c r="AC72">
        <v>4260</v>
      </c>
      <c r="AD72">
        <v>7</v>
      </c>
      <c r="AE72">
        <v>55</v>
      </c>
      <c r="AF72">
        <v>2015</v>
      </c>
      <c r="AG72" t="s">
        <v>281</v>
      </c>
      <c r="AH72">
        <v>2026</v>
      </c>
      <c r="AI72">
        <v>14.44</v>
      </c>
      <c r="AJ72" t="s">
        <v>37</v>
      </c>
      <c r="AK72" t="s">
        <v>48</v>
      </c>
      <c r="AL72" t="s">
        <v>39</v>
      </c>
      <c r="AM72">
        <v>4647</v>
      </c>
      <c r="AN72" s="14" t="s">
        <v>832</v>
      </c>
      <c r="AO72" t="s">
        <v>48</v>
      </c>
      <c r="AP72">
        <v>0.21210000000000001</v>
      </c>
      <c r="AQ72">
        <v>45.05</v>
      </c>
    </row>
    <row r="73" spans="1:43" x14ac:dyDescent="0.3">
      <c r="A73">
        <v>542017915</v>
      </c>
      <c r="B73" t="s">
        <v>623</v>
      </c>
      <c r="C73" t="s">
        <v>624</v>
      </c>
      <c r="D73" t="s">
        <v>268</v>
      </c>
      <c r="E73" t="s">
        <v>117</v>
      </c>
      <c r="F73" t="s">
        <v>625</v>
      </c>
      <c r="G73" t="s">
        <v>626</v>
      </c>
      <c r="H73" t="s">
        <v>342</v>
      </c>
      <c r="I73" s="1">
        <v>44831.647546296299</v>
      </c>
      <c r="J73" s="1">
        <v>46273.959120370368</v>
      </c>
      <c r="K73" s="1">
        <v>46273.670972222222</v>
      </c>
      <c r="L73">
        <v>4967</v>
      </c>
      <c r="M73">
        <v>3238</v>
      </c>
      <c r="N73">
        <v>3238</v>
      </c>
      <c r="O73">
        <v>186</v>
      </c>
      <c r="P73">
        <v>48</v>
      </c>
      <c r="Q73" t="s">
        <v>34</v>
      </c>
      <c r="R73" t="s">
        <v>627</v>
      </c>
      <c r="S73" t="s">
        <v>122</v>
      </c>
      <c r="T73" t="s">
        <v>628</v>
      </c>
      <c r="U73" t="b">
        <v>1</v>
      </c>
      <c r="V73" t="b">
        <v>1</v>
      </c>
      <c r="W73" t="b">
        <v>1</v>
      </c>
      <c r="X73" t="b">
        <v>0</v>
      </c>
      <c r="Y73" t="b">
        <v>0</v>
      </c>
      <c r="Z73" t="b">
        <v>0</v>
      </c>
      <c r="AA73" t="b">
        <v>0</v>
      </c>
      <c r="AB73" t="s">
        <v>35</v>
      </c>
      <c r="AC73">
        <v>1448</v>
      </c>
      <c r="AD73">
        <v>6</v>
      </c>
      <c r="AE73">
        <v>6</v>
      </c>
      <c r="AF73">
        <v>2022</v>
      </c>
      <c r="AG73" t="s">
        <v>36</v>
      </c>
      <c r="AH73">
        <v>2026</v>
      </c>
      <c r="AI73">
        <v>4.8499999999999996</v>
      </c>
      <c r="AJ73" t="s">
        <v>37</v>
      </c>
      <c r="AK73" t="s">
        <v>48</v>
      </c>
      <c r="AL73" t="s">
        <v>39</v>
      </c>
      <c r="AM73">
        <v>3610</v>
      </c>
      <c r="AN73" s="14" t="s">
        <v>832</v>
      </c>
      <c r="AO73" t="s">
        <v>48</v>
      </c>
      <c r="AP73">
        <v>5.74E-2</v>
      </c>
      <c r="AQ73">
        <v>14.82</v>
      </c>
    </row>
    <row r="74" spans="1:43" x14ac:dyDescent="0.3">
      <c r="A74">
        <v>1136039994</v>
      </c>
      <c r="B74" t="s">
        <v>629</v>
      </c>
      <c r="C74" t="s">
        <v>630</v>
      </c>
      <c r="D74" t="s">
        <v>629</v>
      </c>
      <c r="E74" t="s">
        <v>117</v>
      </c>
      <c r="F74" t="s">
        <v>631</v>
      </c>
      <c r="G74" t="s">
        <v>632</v>
      </c>
      <c r="H74" t="s">
        <v>342</v>
      </c>
      <c r="I74" s="1">
        <v>46039.265277777777</v>
      </c>
      <c r="J74" s="1">
        <v>46274.319791666669</v>
      </c>
      <c r="K74" s="1">
        <v>46258.733877314815</v>
      </c>
      <c r="L74">
        <v>19319</v>
      </c>
      <c r="M74">
        <v>3222</v>
      </c>
      <c r="N74">
        <v>3222</v>
      </c>
      <c r="O74">
        <v>104</v>
      </c>
      <c r="P74">
        <v>1</v>
      </c>
      <c r="Q74" t="s">
        <v>34</v>
      </c>
      <c r="R74" t="s">
        <v>633</v>
      </c>
      <c r="S74" t="s">
        <v>169</v>
      </c>
      <c r="T74" t="s">
        <v>634</v>
      </c>
      <c r="U74" t="b">
        <v>1</v>
      </c>
      <c r="V74" t="b">
        <v>1</v>
      </c>
      <c r="W74" t="b">
        <v>0</v>
      </c>
      <c r="X74" t="b">
        <v>1</v>
      </c>
      <c r="Y74" t="b">
        <v>0</v>
      </c>
      <c r="Z74" t="b">
        <v>0</v>
      </c>
      <c r="AA74" t="b">
        <v>0</v>
      </c>
      <c r="AB74" t="s">
        <v>35</v>
      </c>
      <c r="AC74">
        <v>240</v>
      </c>
      <c r="AD74">
        <v>5</v>
      </c>
      <c r="AE74">
        <v>21</v>
      </c>
      <c r="AF74">
        <v>2026</v>
      </c>
      <c r="AG74" t="s">
        <v>281</v>
      </c>
      <c r="AH74">
        <v>2026</v>
      </c>
      <c r="AI74">
        <v>18.87</v>
      </c>
      <c r="AJ74" t="s">
        <v>37</v>
      </c>
      <c r="AK74" t="s">
        <v>48</v>
      </c>
      <c r="AL74" t="s">
        <v>39</v>
      </c>
      <c r="AM74">
        <v>3430</v>
      </c>
      <c r="AN74" s="14" t="s">
        <v>832</v>
      </c>
      <c r="AO74" t="s">
        <v>48</v>
      </c>
      <c r="AP74">
        <v>3.2300000000000002E-2</v>
      </c>
      <c r="AQ74">
        <v>0.31</v>
      </c>
    </row>
    <row r="75" spans="1:43" x14ac:dyDescent="0.3">
      <c r="A75">
        <v>114778979</v>
      </c>
      <c r="B75" t="s">
        <v>635</v>
      </c>
      <c r="C75" t="s">
        <v>636</v>
      </c>
      <c r="D75" t="s">
        <v>637</v>
      </c>
      <c r="E75" t="s">
        <v>134</v>
      </c>
      <c r="F75" t="s">
        <v>638</v>
      </c>
      <c r="G75" t="s">
        <v>639</v>
      </c>
      <c r="H75" t="s">
        <v>53</v>
      </c>
      <c r="I75" s="1">
        <v>43088.857870370368</v>
      </c>
      <c r="J75" s="1">
        <v>46273.541863425926</v>
      </c>
      <c r="K75" s="1">
        <v>45586.911481481482</v>
      </c>
      <c r="L75">
        <v>144</v>
      </c>
      <c r="M75">
        <v>3163</v>
      </c>
      <c r="N75">
        <v>3163</v>
      </c>
      <c r="O75">
        <v>463</v>
      </c>
      <c r="P75">
        <v>6</v>
      </c>
      <c r="Q75" t="s">
        <v>120</v>
      </c>
      <c r="R75" t="s">
        <v>640</v>
      </c>
      <c r="S75" t="s">
        <v>279</v>
      </c>
      <c r="T75" t="s">
        <v>195</v>
      </c>
      <c r="U75" t="b">
        <v>1</v>
      </c>
      <c r="V75" t="b">
        <v>1</v>
      </c>
      <c r="W75" t="b">
        <v>1</v>
      </c>
      <c r="X75" t="b">
        <v>0</v>
      </c>
      <c r="Y75" t="b">
        <v>0</v>
      </c>
      <c r="Z75" t="b">
        <v>0</v>
      </c>
      <c r="AA75" t="b">
        <v>0</v>
      </c>
      <c r="AB75" t="s">
        <v>35</v>
      </c>
      <c r="AC75">
        <v>3191</v>
      </c>
      <c r="AD75">
        <v>6</v>
      </c>
      <c r="AE75">
        <v>693</v>
      </c>
      <c r="AF75">
        <v>2017</v>
      </c>
      <c r="AG75" t="s">
        <v>179</v>
      </c>
      <c r="AH75">
        <v>2026</v>
      </c>
      <c r="AI75">
        <v>0.14000000000000001</v>
      </c>
      <c r="AJ75" t="s">
        <v>37</v>
      </c>
      <c r="AK75" t="s">
        <v>48</v>
      </c>
      <c r="AL75" t="s">
        <v>100</v>
      </c>
      <c r="AM75">
        <v>4089</v>
      </c>
      <c r="AN75" s="14" t="s">
        <v>832</v>
      </c>
      <c r="AO75" t="s">
        <v>38</v>
      </c>
      <c r="AP75">
        <v>0.1464</v>
      </c>
      <c r="AQ75">
        <v>1.9</v>
      </c>
    </row>
    <row r="76" spans="1:43" x14ac:dyDescent="0.3">
      <c r="A76">
        <v>290879784</v>
      </c>
      <c r="B76" t="s">
        <v>641</v>
      </c>
      <c r="C76" t="s">
        <v>642</v>
      </c>
      <c r="D76" t="s">
        <v>643</v>
      </c>
      <c r="E76" t="s">
        <v>134</v>
      </c>
      <c r="F76" t="s">
        <v>644</v>
      </c>
      <c r="G76" t="s">
        <v>645</v>
      </c>
      <c r="H76" t="s">
        <v>33</v>
      </c>
      <c r="I76" s="1">
        <v>44071.100682870368</v>
      </c>
      <c r="J76" s="1">
        <v>46255.250173611108</v>
      </c>
      <c r="K76" s="1">
        <v>45998.996527777781</v>
      </c>
      <c r="L76">
        <v>19593</v>
      </c>
      <c r="M76">
        <v>3138</v>
      </c>
      <c r="N76">
        <v>3138</v>
      </c>
      <c r="O76">
        <v>210</v>
      </c>
      <c r="P76">
        <v>18</v>
      </c>
      <c r="Q76" t="s">
        <v>120</v>
      </c>
      <c r="R76" t="s">
        <v>646</v>
      </c>
      <c r="S76" t="s">
        <v>169</v>
      </c>
      <c r="T76" t="s">
        <v>647</v>
      </c>
      <c r="U76" t="b">
        <v>1</v>
      </c>
      <c r="V76" t="b">
        <v>1</v>
      </c>
      <c r="W76" t="b">
        <v>1</v>
      </c>
      <c r="X76" t="b">
        <v>0</v>
      </c>
      <c r="Y76" t="b">
        <v>0</v>
      </c>
      <c r="Z76" t="b">
        <v>0</v>
      </c>
      <c r="AA76" t="b">
        <v>0</v>
      </c>
      <c r="AB76" t="s">
        <v>35</v>
      </c>
      <c r="AC76">
        <v>2209</v>
      </c>
      <c r="AD76">
        <v>24</v>
      </c>
      <c r="AE76">
        <v>281</v>
      </c>
      <c r="AF76">
        <v>2020</v>
      </c>
      <c r="AG76" t="s">
        <v>47</v>
      </c>
      <c r="AH76">
        <v>2026</v>
      </c>
      <c r="AI76">
        <v>19.13</v>
      </c>
      <c r="AJ76" t="s">
        <v>37</v>
      </c>
      <c r="AK76" t="s">
        <v>48</v>
      </c>
      <c r="AL76" t="s">
        <v>213</v>
      </c>
      <c r="AM76">
        <v>3558</v>
      </c>
      <c r="AN76" s="14" t="s">
        <v>832</v>
      </c>
      <c r="AO76" t="s">
        <v>48</v>
      </c>
      <c r="AP76">
        <v>6.6900000000000001E-2</v>
      </c>
      <c r="AQ76">
        <v>5.74</v>
      </c>
    </row>
    <row r="77" spans="1:43" x14ac:dyDescent="0.3">
      <c r="A77">
        <v>384111310</v>
      </c>
      <c r="B77" t="s">
        <v>648</v>
      </c>
      <c r="C77" t="s">
        <v>649</v>
      </c>
      <c r="D77" t="s">
        <v>116</v>
      </c>
      <c r="E77" t="s">
        <v>117</v>
      </c>
      <c r="F77" t="s">
        <v>650</v>
      </c>
      <c r="G77" t="s">
        <v>651</v>
      </c>
      <c r="H77" t="s">
        <v>328</v>
      </c>
      <c r="I77" s="1">
        <v>44385.733437499999</v>
      </c>
      <c r="J77" s="1">
        <v>46273.975451388891</v>
      </c>
      <c r="K77" s="1">
        <v>46272.980590277781</v>
      </c>
      <c r="L77">
        <v>64391</v>
      </c>
      <c r="M77">
        <v>3132</v>
      </c>
      <c r="N77">
        <v>3132</v>
      </c>
      <c r="O77">
        <v>807</v>
      </c>
      <c r="P77">
        <v>47</v>
      </c>
      <c r="Q77" t="s">
        <v>34</v>
      </c>
      <c r="R77" t="s">
        <v>652</v>
      </c>
      <c r="S77" t="s">
        <v>122</v>
      </c>
      <c r="T77" t="s">
        <v>653</v>
      </c>
      <c r="U77" t="b">
        <v>1</v>
      </c>
      <c r="V77" t="b">
        <v>0</v>
      </c>
      <c r="W77" t="b">
        <v>0</v>
      </c>
      <c r="X77" t="b">
        <v>0</v>
      </c>
      <c r="Y77" t="b">
        <v>0</v>
      </c>
      <c r="Z77" t="b">
        <v>0</v>
      </c>
      <c r="AA77" t="b">
        <v>0</v>
      </c>
      <c r="AB77" t="s">
        <v>35</v>
      </c>
      <c r="AC77">
        <v>1894</v>
      </c>
      <c r="AD77">
        <v>6</v>
      </c>
      <c r="AE77">
        <v>7</v>
      </c>
      <c r="AF77">
        <v>2021</v>
      </c>
      <c r="AG77" t="s">
        <v>54</v>
      </c>
      <c r="AH77">
        <v>2026</v>
      </c>
      <c r="AI77">
        <v>62.88</v>
      </c>
      <c r="AJ77" t="s">
        <v>37</v>
      </c>
      <c r="AK77" t="s">
        <v>48</v>
      </c>
      <c r="AL77" t="s">
        <v>39</v>
      </c>
      <c r="AM77">
        <v>4746</v>
      </c>
      <c r="AN77" s="14" t="s">
        <v>832</v>
      </c>
      <c r="AO77" t="s">
        <v>48</v>
      </c>
      <c r="AP77">
        <v>0.25769999999999998</v>
      </c>
      <c r="AQ77">
        <v>15.01</v>
      </c>
    </row>
    <row r="78" spans="1:43" x14ac:dyDescent="0.3">
      <c r="A78">
        <v>194002712</v>
      </c>
      <c r="B78" t="s">
        <v>654</v>
      </c>
      <c r="C78" t="s">
        <v>655</v>
      </c>
      <c r="D78" t="s">
        <v>656</v>
      </c>
      <c r="E78" t="s">
        <v>134</v>
      </c>
      <c r="F78" t="s">
        <v>657</v>
      </c>
      <c r="G78" t="s">
        <v>658</v>
      </c>
      <c r="H78" t="s">
        <v>193</v>
      </c>
      <c r="I78" s="1">
        <v>43643.298078703701</v>
      </c>
      <c r="J78" s="1">
        <v>46270.675451388888</v>
      </c>
      <c r="K78" s="1">
        <v>45480.755601851852</v>
      </c>
      <c r="L78">
        <v>18215</v>
      </c>
      <c r="M78">
        <v>3129</v>
      </c>
      <c r="N78">
        <v>3129</v>
      </c>
      <c r="O78">
        <v>568</v>
      </c>
      <c r="P78">
        <v>10</v>
      </c>
      <c r="Q78" t="s">
        <v>120</v>
      </c>
      <c r="R78" t="s">
        <v>659</v>
      </c>
      <c r="S78" t="s">
        <v>279</v>
      </c>
      <c r="T78" t="s">
        <v>195</v>
      </c>
      <c r="U78" t="b">
        <v>1</v>
      </c>
      <c r="V78" t="b">
        <v>1</v>
      </c>
      <c r="W78" t="b">
        <v>1</v>
      </c>
      <c r="X78" t="b">
        <v>0</v>
      </c>
      <c r="Y78" t="b">
        <v>0</v>
      </c>
      <c r="Z78" t="b">
        <v>0</v>
      </c>
      <c r="AA78" t="b">
        <v>0</v>
      </c>
      <c r="AB78" t="s">
        <v>35</v>
      </c>
      <c r="AC78">
        <v>2636</v>
      </c>
      <c r="AD78">
        <v>9</v>
      </c>
      <c r="AE78">
        <v>799</v>
      </c>
      <c r="AF78">
        <v>2019</v>
      </c>
      <c r="AG78" t="s">
        <v>307</v>
      </c>
      <c r="AH78">
        <v>2026</v>
      </c>
      <c r="AI78">
        <v>17.79</v>
      </c>
      <c r="AJ78" t="s">
        <v>37</v>
      </c>
      <c r="AK78" t="s">
        <v>48</v>
      </c>
      <c r="AL78" t="s">
        <v>100</v>
      </c>
      <c r="AM78">
        <v>4265</v>
      </c>
      <c r="AN78" s="14" t="s">
        <v>832</v>
      </c>
      <c r="AO78" t="s">
        <v>38</v>
      </c>
      <c r="AP78">
        <v>0.18149999999999999</v>
      </c>
      <c r="AQ78">
        <v>3.2</v>
      </c>
    </row>
    <row r="79" spans="1:43" x14ac:dyDescent="0.3">
      <c r="A79">
        <v>262600128</v>
      </c>
      <c r="B79" t="s">
        <v>660</v>
      </c>
      <c r="C79" t="s">
        <v>661</v>
      </c>
      <c r="D79" t="s">
        <v>662</v>
      </c>
      <c r="E79" t="s">
        <v>134</v>
      </c>
      <c r="F79" t="s">
        <v>663</v>
      </c>
      <c r="G79" t="s">
        <v>664</v>
      </c>
      <c r="H79" t="s">
        <v>33</v>
      </c>
      <c r="I79" s="1">
        <v>43960.872071759259</v>
      </c>
      <c r="J79" s="1">
        <v>46273.309629629628</v>
      </c>
      <c r="K79" s="1">
        <v>46124.035555555558</v>
      </c>
      <c r="L79">
        <v>16036</v>
      </c>
      <c r="M79">
        <v>3125</v>
      </c>
      <c r="N79">
        <v>3125</v>
      </c>
      <c r="O79">
        <v>286</v>
      </c>
      <c r="P79">
        <v>41</v>
      </c>
      <c r="Q79" t="s">
        <v>120</v>
      </c>
      <c r="R79" t="s">
        <v>665</v>
      </c>
      <c r="S79" t="s">
        <v>169</v>
      </c>
      <c r="T79" t="s">
        <v>195</v>
      </c>
      <c r="U79" t="b">
        <v>1</v>
      </c>
      <c r="V79" t="b">
        <v>1</v>
      </c>
      <c r="W79" t="b">
        <v>1</v>
      </c>
      <c r="X79" t="b">
        <v>1</v>
      </c>
      <c r="Y79" t="b">
        <v>0</v>
      </c>
      <c r="Z79" t="b">
        <v>0</v>
      </c>
      <c r="AA79" t="b">
        <v>0</v>
      </c>
      <c r="AB79" t="s">
        <v>35</v>
      </c>
      <c r="AC79">
        <v>2319</v>
      </c>
      <c r="AD79">
        <v>6</v>
      </c>
      <c r="AE79">
        <v>156</v>
      </c>
      <c r="AF79">
        <v>2020</v>
      </c>
      <c r="AG79" t="s">
        <v>323</v>
      </c>
      <c r="AH79">
        <v>2026</v>
      </c>
      <c r="AI79">
        <v>15.66</v>
      </c>
      <c r="AJ79" t="s">
        <v>37</v>
      </c>
      <c r="AK79" t="s">
        <v>48</v>
      </c>
      <c r="AL79" t="s">
        <v>39</v>
      </c>
      <c r="AM79">
        <v>3697</v>
      </c>
      <c r="AN79" s="14" t="s">
        <v>832</v>
      </c>
      <c r="AO79" t="s">
        <v>48</v>
      </c>
      <c r="AP79">
        <v>9.1499999999999998E-2</v>
      </c>
      <c r="AQ79">
        <v>13.12</v>
      </c>
    </row>
    <row r="80" spans="1:43" x14ac:dyDescent="0.3">
      <c r="A80">
        <v>93925242</v>
      </c>
      <c r="B80" t="s">
        <v>666</v>
      </c>
      <c r="C80" t="s">
        <v>667</v>
      </c>
      <c r="D80" t="s">
        <v>668</v>
      </c>
      <c r="E80" t="s">
        <v>134</v>
      </c>
      <c r="F80" t="s">
        <v>669</v>
      </c>
      <c r="G80" t="s">
        <v>670</v>
      </c>
      <c r="H80" t="s">
        <v>320</v>
      </c>
      <c r="I80" s="1">
        <v>42896.569108796299</v>
      </c>
      <c r="J80" s="1">
        <v>46267.611828703702</v>
      </c>
      <c r="K80" s="1">
        <v>45166.447337962964</v>
      </c>
      <c r="L80">
        <v>11184</v>
      </c>
      <c r="M80">
        <v>3089</v>
      </c>
      <c r="N80">
        <v>3089</v>
      </c>
      <c r="O80">
        <v>516</v>
      </c>
      <c r="P80">
        <v>194</v>
      </c>
      <c r="Q80" t="s">
        <v>120</v>
      </c>
      <c r="R80" t="s">
        <v>671</v>
      </c>
      <c r="S80" t="s">
        <v>122</v>
      </c>
      <c r="T80" t="s">
        <v>672</v>
      </c>
      <c r="U80" t="b">
        <v>1</v>
      </c>
      <c r="V80" t="b">
        <v>1</v>
      </c>
      <c r="W80" t="b">
        <v>1</v>
      </c>
      <c r="X80" t="b">
        <v>0</v>
      </c>
      <c r="Y80" t="b">
        <v>0</v>
      </c>
      <c r="Z80" t="b">
        <v>0</v>
      </c>
      <c r="AA80" t="b">
        <v>0</v>
      </c>
      <c r="AB80" t="s">
        <v>35</v>
      </c>
      <c r="AC80">
        <v>3383</v>
      </c>
      <c r="AD80">
        <v>12</v>
      </c>
      <c r="AE80">
        <v>1113</v>
      </c>
      <c r="AF80">
        <v>2017</v>
      </c>
      <c r="AG80" t="s">
        <v>307</v>
      </c>
      <c r="AH80">
        <v>2026</v>
      </c>
      <c r="AI80">
        <v>10.92</v>
      </c>
      <c r="AJ80" t="s">
        <v>37</v>
      </c>
      <c r="AK80" t="s">
        <v>48</v>
      </c>
      <c r="AL80" t="s">
        <v>100</v>
      </c>
      <c r="AM80">
        <v>4121</v>
      </c>
      <c r="AN80" s="14" t="s">
        <v>832</v>
      </c>
      <c r="AO80" t="s">
        <v>48</v>
      </c>
      <c r="AP80">
        <v>0.16700000000000001</v>
      </c>
      <c r="AQ80">
        <v>62.8</v>
      </c>
    </row>
    <row r="81" spans="1:43" x14ac:dyDescent="0.3">
      <c r="A81">
        <v>46631797</v>
      </c>
      <c r="B81" t="s">
        <v>673</v>
      </c>
      <c r="C81" t="s">
        <v>674</v>
      </c>
      <c r="D81" t="s">
        <v>675</v>
      </c>
      <c r="E81" t="s">
        <v>134</v>
      </c>
      <c r="F81" t="s">
        <v>676</v>
      </c>
      <c r="G81" t="s">
        <v>677</v>
      </c>
      <c r="H81" t="s">
        <v>193</v>
      </c>
      <c r="I81" s="1">
        <v>42330.069351851853</v>
      </c>
      <c r="J81" s="1">
        <v>46273.788298611114</v>
      </c>
      <c r="K81" s="1">
        <v>45483.930613425924</v>
      </c>
      <c r="L81">
        <v>168</v>
      </c>
      <c r="M81">
        <v>3026</v>
      </c>
      <c r="N81">
        <v>3026</v>
      </c>
      <c r="O81">
        <v>4010</v>
      </c>
      <c r="P81">
        <v>36</v>
      </c>
      <c r="Q81" t="s">
        <v>120</v>
      </c>
      <c r="R81" t="s">
        <v>678</v>
      </c>
      <c r="S81" t="s">
        <v>169</v>
      </c>
      <c r="T81" t="s">
        <v>195</v>
      </c>
      <c r="U81" t="b">
        <v>1</v>
      </c>
      <c r="V81" t="b">
        <v>1</v>
      </c>
      <c r="W81" t="b">
        <v>1</v>
      </c>
      <c r="X81" t="b">
        <v>0</v>
      </c>
      <c r="Y81" t="b">
        <v>0</v>
      </c>
      <c r="Z81" t="b">
        <v>0</v>
      </c>
      <c r="AA81" t="b">
        <v>0</v>
      </c>
      <c r="AB81" t="s">
        <v>35</v>
      </c>
      <c r="AC81">
        <v>3950</v>
      </c>
      <c r="AD81">
        <v>6</v>
      </c>
      <c r="AE81">
        <v>796</v>
      </c>
      <c r="AF81">
        <v>2015</v>
      </c>
      <c r="AG81" t="s">
        <v>205</v>
      </c>
      <c r="AH81">
        <v>2026</v>
      </c>
      <c r="AI81">
        <v>0.16</v>
      </c>
      <c r="AJ81" t="s">
        <v>37</v>
      </c>
      <c r="AK81" t="s">
        <v>48</v>
      </c>
      <c r="AL81" t="s">
        <v>100</v>
      </c>
      <c r="AM81">
        <v>11046</v>
      </c>
      <c r="AN81" s="14" t="s">
        <v>832</v>
      </c>
      <c r="AO81" t="s">
        <v>48</v>
      </c>
      <c r="AP81">
        <v>1.3251999999999999</v>
      </c>
      <c r="AQ81">
        <v>11.9</v>
      </c>
    </row>
    <row r="82" spans="1:43" x14ac:dyDescent="0.3">
      <c r="A82">
        <v>1066509034</v>
      </c>
      <c r="B82" t="s">
        <v>679</v>
      </c>
      <c r="C82" t="s">
        <v>680</v>
      </c>
      <c r="D82" t="s">
        <v>679</v>
      </c>
      <c r="E82" t="s">
        <v>117</v>
      </c>
      <c r="F82" t="s">
        <v>681</v>
      </c>
      <c r="G82" t="s">
        <v>682</v>
      </c>
      <c r="H82" t="s">
        <v>342</v>
      </c>
      <c r="I82" s="1">
        <v>45929.871122685188</v>
      </c>
      <c r="J82" s="1">
        <v>46274.095127314817</v>
      </c>
      <c r="K82" s="1">
        <v>46274.196319444447</v>
      </c>
      <c r="L82">
        <v>119060</v>
      </c>
      <c r="M82">
        <v>3005</v>
      </c>
      <c r="N82">
        <v>3005</v>
      </c>
      <c r="O82">
        <v>198</v>
      </c>
      <c r="P82">
        <v>36</v>
      </c>
      <c r="Q82" t="s">
        <v>34</v>
      </c>
      <c r="R82" t="s">
        <v>683</v>
      </c>
      <c r="S82" t="s">
        <v>122</v>
      </c>
      <c r="T82" t="s">
        <v>684</v>
      </c>
      <c r="U82" t="b">
        <v>1</v>
      </c>
      <c r="V82" t="b">
        <v>0</v>
      </c>
      <c r="W82" t="b">
        <v>0</v>
      </c>
      <c r="X82" t="b">
        <v>0</v>
      </c>
      <c r="Y82" t="b">
        <v>0</v>
      </c>
      <c r="Z82" t="b">
        <v>0</v>
      </c>
      <c r="AA82" t="b">
        <v>0</v>
      </c>
      <c r="AB82" t="s">
        <v>35</v>
      </c>
      <c r="AC82">
        <v>350</v>
      </c>
      <c r="AD82">
        <v>6</v>
      </c>
      <c r="AE82">
        <v>6</v>
      </c>
      <c r="AF82">
        <v>2025</v>
      </c>
      <c r="AG82" t="s">
        <v>36</v>
      </c>
      <c r="AH82">
        <v>2026</v>
      </c>
      <c r="AI82">
        <v>116.27</v>
      </c>
      <c r="AJ82" t="s">
        <v>37</v>
      </c>
      <c r="AK82" t="s">
        <v>48</v>
      </c>
      <c r="AL82" t="s">
        <v>39</v>
      </c>
      <c r="AM82">
        <v>3401</v>
      </c>
      <c r="AN82" s="14" t="s">
        <v>832</v>
      </c>
      <c r="AO82" t="s">
        <v>48</v>
      </c>
      <c r="AP82">
        <v>6.59E-2</v>
      </c>
      <c r="AQ82">
        <v>11.98</v>
      </c>
    </row>
    <row r="83" spans="1:43" x14ac:dyDescent="0.3">
      <c r="A83">
        <v>108669343</v>
      </c>
      <c r="B83" t="s">
        <v>685</v>
      </c>
      <c r="C83" t="s">
        <v>686</v>
      </c>
      <c r="D83" t="s">
        <v>687</v>
      </c>
      <c r="E83" t="s">
        <v>134</v>
      </c>
      <c r="F83" t="s">
        <v>688</v>
      </c>
      <c r="G83" t="s">
        <v>689</v>
      </c>
      <c r="H83" t="s">
        <v>320</v>
      </c>
      <c r="I83" s="1">
        <v>43036.955381944441</v>
      </c>
      <c r="J83" s="1">
        <v>46272.986678240741</v>
      </c>
      <c r="K83" s="1">
        <v>46271.04482638889</v>
      </c>
      <c r="L83">
        <v>51809</v>
      </c>
      <c r="M83">
        <v>2982</v>
      </c>
      <c r="N83">
        <v>2982</v>
      </c>
      <c r="O83">
        <v>360</v>
      </c>
      <c r="P83">
        <v>1</v>
      </c>
      <c r="Q83" t="s">
        <v>120</v>
      </c>
      <c r="R83" t="s">
        <v>690</v>
      </c>
      <c r="S83" t="s">
        <v>129</v>
      </c>
      <c r="T83" t="s">
        <v>691</v>
      </c>
      <c r="U83" t="b">
        <v>1</v>
      </c>
      <c r="V83" t="b">
        <v>1</v>
      </c>
      <c r="W83" t="b">
        <v>1</v>
      </c>
      <c r="X83" t="b">
        <v>1</v>
      </c>
      <c r="Y83" t="b">
        <v>0</v>
      </c>
      <c r="Z83" t="b">
        <v>0</v>
      </c>
      <c r="AA83" t="b">
        <v>0</v>
      </c>
      <c r="AB83" t="s">
        <v>35</v>
      </c>
      <c r="AC83">
        <v>3243</v>
      </c>
      <c r="AD83">
        <v>7</v>
      </c>
      <c r="AE83">
        <v>9</v>
      </c>
      <c r="AF83">
        <v>2017</v>
      </c>
      <c r="AG83" t="s">
        <v>171</v>
      </c>
      <c r="AH83">
        <v>2026</v>
      </c>
      <c r="AI83">
        <v>50.59</v>
      </c>
      <c r="AJ83" t="s">
        <v>37</v>
      </c>
      <c r="AK83" t="s">
        <v>48</v>
      </c>
      <c r="AL83" t="s">
        <v>39</v>
      </c>
      <c r="AM83">
        <v>3702</v>
      </c>
      <c r="AN83" s="14" t="s">
        <v>832</v>
      </c>
      <c r="AO83" t="s">
        <v>48</v>
      </c>
      <c r="AP83">
        <v>0.1207</v>
      </c>
      <c r="AQ83">
        <v>0.34</v>
      </c>
    </row>
    <row r="84" spans="1:43" x14ac:dyDescent="0.3">
      <c r="A84">
        <v>376124046</v>
      </c>
      <c r="B84" t="s">
        <v>692</v>
      </c>
      <c r="C84" t="s">
        <v>693</v>
      </c>
      <c r="D84" t="s">
        <v>694</v>
      </c>
      <c r="E84" t="s">
        <v>117</v>
      </c>
      <c r="F84" t="s">
        <v>695</v>
      </c>
      <c r="G84" t="s">
        <v>696</v>
      </c>
      <c r="H84" t="s">
        <v>342</v>
      </c>
      <c r="I84" s="1">
        <v>44359.041041666664</v>
      </c>
      <c r="J84" s="1">
        <v>46263.087106481478</v>
      </c>
      <c r="K84" s="1">
        <v>45241.010057870371</v>
      </c>
      <c r="L84">
        <v>162412</v>
      </c>
      <c r="M84">
        <v>2954</v>
      </c>
      <c r="N84">
        <v>2954</v>
      </c>
      <c r="O84">
        <v>112</v>
      </c>
      <c r="P84">
        <v>38</v>
      </c>
      <c r="Q84" t="s">
        <v>34</v>
      </c>
      <c r="R84" t="s">
        <v>697</v>
      </c>
      <c r="S84" t="s">
        <v>154</v>
      </c>
      <c r="T84" t="s">
        <v>698</v>
      </c>
      <c r="U84" t="b">
        <v>1</v>
      </c>
      <c r="V84" t="b">
        <v>1</v>
      </c>
      <c r="W84" t="b">
        <v>1</v>
      </c>
      <c r="X84" t="b">
        <v>0</v>
      </c>
      <c r="Y84" t="b">
        <v>0</v>
      </c>
      <c r="Z84" t="b">
        <v>0</v>
      </c>
      <c r="AA84" t="b">
        <v>0</v>
      </c>
      <c r="AB84" t="s">
        <v>35</v>
      </c>
      <c r="AC84">
        <v>1921</v>
      </c>
      <c r="AD84">
        <v>17</v>
      </c>
      <c r="AE84">
        <v>1039</v>
      </c>
      <c r="AF84">
        <v>2021</v>
      </c>
      <c r="AG84" t="s">
        <v>307</v>
      </c>
      <c r="AH84">
        <v>2026</v>
      </c>
      <c r="AI84">
        <v>158.61000000000001</v>
      </c>
      <c r="AJ84" t="s">
        <v>37</v>
      </c>
      <c r="AK84" t="s">
        <v>48</v>
      </c>
      <c r="AL84" t="s">
        <v>100</v>
      </c>
      <c r="AM84">
        <v>3178</v>
      </c>
      <c r="AN84" s="14" t="s">
        <v>832</v>
      </c>
      <c r="AO84" t="s">
        <v>48</v>
      </c>
      <c r="AP84">
        <v>3.7900000000000003E-2</v>
      </c>
      <c r="AQ84">
        <v>12.86</v>
      </c>
    </row>
    <row r="85" spans="1:43" x14ac:dyDescent="0.3">
      <c r="A85">
        <v>436466520</v>
      </c>
      <c r="B85" t="s">
        <v>699</v>
      </c>
      <c r="C85" t="s">
        <v>700</v>
      </c>
      <c r="D85" t="s">
        <v>701</v>
      </c>
      <c r="E85" t="s">
        <v>117</v>
      </c>
      <c r="F85" t="s">
        <v>702</v>
      </c>
      <c r="G85" t="s">
        <v>703</v>
      </c>
      <c r="H85" t="s">
        <v>328</v>
      </c>
      <c r="I85" s="1">
        <v>44539.36146990741</v>
      </c>
      <c r="J85" s="1">
        <v>46273.895914351851</v>
      </c>
      <c r="K85" s="1">
        <v>46274.522106481483</v>
      </c>
      <c r="L85">
        <v>642814</v>
      </c>
      <c r="M85">
        <v>2873</v>
      </c>
      <c r="N85">
        <v>2873</v>
      </c>
      <c r="O85">
        <v>199</v>
      </c>
      <c r="P85">
        <v>212</v>
      </c>
      <c r="Q85" t="s">
        <v>34</v>
      </c>
      <c r="R85" t="s">
        <v>704</v>
      </c>
      <c r="S85" t="s">
        <v>122</v>
      </c>
      <c r="T85" t="s">
        <v>705</v>
      </c>
      <c r="U85" t="b">
        <v>1</v>
      </c>
      <c r="V85" t="b">
        <v>1</v>
      </c>
      <c r="W85" t="b">
        <v>1</v>
      </c>
      <c r="X85" t="b">
        <v>0</v>
      </c>
      <c r="Y85" t="b">
        <v>0</v>
      </c>
      <c r="Z85" t="b">
        <v>0</v>
      </c>
      <c r="AA85" t="b">
        <v>0</v>
      </c>
      <c r="AB85" t="s">
        <v>35</v>
      </c>
      <c r="AC85">
        <v>1740</v>
      </c>
      <c r="AD85">
        <v>6</v>
      </c>
      <c r="AE85">
        <v>5</v>
      </c>
      <c r="AF85">
        <v>2021</v>
      </c>
      <c r="AG85" t="s">
        <v>179</v>
      </c>
      <c r="AH85">
        <v>2026</v>
      </c>
      <c r="AI85">
        <v>627.75</v>
      </c>
      <c r="AJ85" t="s">
        <v>37</v>
      </c>
      <c r="AK85" t="s">
        <v>48</v>
      </c>
      <c r="AL85" t="s">
        <v>39</v>
      </c>
      <c r="AM85">
        <v>3271</v>
      </c>
      <c r="AN85" s="14" t="s">
        <v>832</v>
      </c>
      <c r="AO85" t="s">
        <v>48</v>
      </c>
      <c r="AP85">
        <v>6.93E-2</v>
      </c>
      <c r="AQ85">
        <v>73.790000000000006</v>
      </c>
    </row>
    <row r="86" spans="1:43" x14ac:dyDescent="0.3">
      <c r="A86">
        <v>481901631</v>
      </c>
      <c r="B86" t="s">
        <v>706</v>
      </c>
      <c r="C86" t="s">
        <v>707</v>
      </c>
      <c r="D86" t="s">
        <v>706</v>
      </c>
      <c r="E86" t="s">
        <v>117</v>
      </c>
      <c r="F86" t="s">
        <v>708</v>
      </c>
      <c r="G86" t="s">
        <v>709</v>
      </c>
      <c r="H86" t="s">
        <v>33</v>
      </c>
      <c r="I86" s="1">
        <v>44666.609537037039</v>
      </c>
      <c r="J86" s="1">
        <v>46274.387870370374</v>
      </c>
      <c r="K86" s="1">
        <v>46136.561053240737</v>
      </c>
      <c r="L86">
        <v>210786</v>
      </c>
      <c r="M86">
        <v>2707</v>
      </c>
      <c r="N86">
        <v>2707</v>
      </c>
      <c r="O86">
        <v>470</v>
      </c>
      <c r="P86">
        <v>92</v>
      </c>
      <c r="Q86" t="s">
        <v>34</v>
      </c>
      <c r="R86" t="s">
        <v>710</v>
      </c>
      <c r="S86" t="s">
        <v>122</v>
      </c>
      <c r="T86" t="s">
        <v>711</v>
      </c>
      <c r="U86" t="b">
        <v>1</v>
      </c>
      <c r="V86" t="b">
        <v>1</v>
      </c>
      <c r="W86" t="b">
        <v>1</v>
      </c>
      <c r="X86" t="b">
        <v>0</v>
      </c>
      <c r="Y86" t="b">
        <v>0</v>
      </c>
      <c r="Z86" t="b">
        <v>0</v>
      </c>
      <c r="AA86" t="b">
        <v>0</v>
      </c>
      <c r="AB86" t="s">
        <v>35</v>
      </c>
      <c r="AC86">
        <v>1613</v>
      </c>
      <c r="AD86">
        <v>5</v>
      </c>
      <c r="AE86">
        <v>143</v>
      </c>
      <c r="AF86">
        <v>2022</v>
      </c>
      <c r="AG86" t="s">
        <v>140</v>
      </c>
      <c r="AH86">
        <v>2026</v>
      </c>
      <c r="AI86">
        <v>205.85</v>
      </c>
      <c r="AJ86" t="s">
        <v>37</v>
      </c>
      <c r="AK86" t="s">
        <v>48</v>
      </c>
      <c r="AL86" t="s">
        <v>39</v>
      </c>
      <c r="AM86">
        <v>3647</v>
      </c>
      <c r="AN86" s="14" t="s">
        <v>832</v>
      </c>
      <c r="AO86" t="s">
        <v>48</v>
      </c>
      <c r="AP86">
        <v>0.1736</v>
      </c>
      <c r="AQ86">
        <v>33.99</v>
      </c>
    </row>
    <row r="87" spans="1:43" x14ac:dyDescent="0.3">
      <c r="A87">
        <v>148087762</v>
      </c>
      <c r="B87" t="s">
        <v>712</v>
      </c>
      <c r="C87" t="s">
        <v>713</v>
      </c>
      <c r="D87" t="s">
        <v>714</v>
      </c>
      <c r="E87" t="s">
        <v>117</v>
      </c>
      <c r="F87" t="s">
        <v>715</v>
      </c>
      <c r="G87" t="s">
        <v>716</v>
      </c>
      <c r="H87" t="s">
        <v>33</v>
      </c>
      <c r="I87" s="1">
        <v>43353.330590277779</v>
      </c>
      <c r="J87" s="1">
        <v>46264.850277777776</v>
      </c>
      <c r="K87" s="1">
        <v>45429.918819444443</v>
      </c>
      <c r="L87">
        <v>162703</v>
      </c>
      <c r="M87">
        <v>2672</v>
      </c>
      <c r="N87">
        <v>2672</v>
      </c>
      <c r="O87">
        <v>258</v>
      </c>
      <c r="P87">
        <v>142</v>
      </c>
      <c r="Q87" t="s">
        <v>717</v>
      </c>
      <c r="R87" t="s">
        <v>718</v>
      </c>
      <c r="S87" t="s">
        <v>122</v>
      </c>
      <c r="T87" t="s">
        <v>719</v>
      </c>
      <c r="U87" t="b">
        <v>1</v>
      </c>
      <c r="V87" t="b">
        <v>1</v>
      </c>
      <c r="W87" t="b">
        <v>1</v>
      </c>
      <c r="X87" t="b">
        <v>1</v>
      </c>
      <c r="Y87" t="b">
        <v>0</v>
      </c>
      <c r="Z87" t="b">
        <v>1</v>
      </c>
      <c r="AA87" t="b">
        <v>0</v>
      </c>
      <c r="AB87" t="s">
        <v>35</v>
      </c>
      <c r="AC87">
        <v>2926</v>
      </c>
      <c r="AD87">
        <v>15</v>
      </c>
      <c r="AE87">
        <v>850</v>
      </c>
      <c r="AF87">
        <v>2018</v>
      </c>
      <c r="AG87" t="s">
        <v>36</v>
      </c>
      <c r="AH87">
        <v>2026</v>
      </c>
      <c r="AI87">
        <v>158.88999999999999</v>
      </c>
      <c r="AJ87" t="s">
        <v>37</v>
      </c>
      <c r="AK87" t="s">
        <v>48</v>
      </c>
      <c r="AL87" t="s">
        <v>100</v>
      </c>
      <c r="AM87">
        <v>3188</v>
      </c>
      <c r="AN87" s="14" t="s">
        <v>832</v>
      </c>
      <c r="AO87" t="s">
        <v>48</v>
      </c>
      <c r="AP87">
        <v>9.6600000000000005E-2</v>
      </c>
      <c r="AQ87">
        <v>53.14</v>
      </c>
    </row>
    <row r="88" spans="1:43" x14ac:dyDescent="0.3">
      <c r="A88">
        <v>450188582</v>
      </c>
      <c r="B88" t="s">
        <v>720</v>
      </c>
      <c r="C88" t="s">
        <v>721</v>
      </c>
      <c r="D88" t="s">
        <v>722</v>
      </c>
      <c r="E88" t="s">
        <v>117</v>
      </c>
      <c r="F88" t="s">
        <v>723</v>
      </c>
      <c r="G88" t="s">
        <v>724</v>
      </c>
      <c r="H88" t="s">
        <v>193</v>
      </c>
      <c r="I88" s="1">
        <v>44581.946747685186</v>
      </c>
      <c r="J88" s="1">
        <v>46271.113819444443</v>
      </c>
      <c r="K88" s="1">
        <v>46225.045844907407</v>
      </c>
      <c r="L88">
        <v>398730</v>
      </c>
      <c r="M88">
        <v>2646</v>
      </c>
      <c r="N88">
        <v>2646</v>
      </c>
      <c r="O88">
        <v>206</v>
      </c>
      <c r="P88">
        <v>293</v>
      </c>
      <c r="Q88" t="s">
        <v>458</v>
      </c>
      <c r="R88" t="s">
        <v>725</v>
      </c>
      <c r="S88" t="s">
        <v>154</v>
      </c>
      <c r="T88" t="s">
        <v>726</v>
      </c>
      <c r="U88" t="b">
        <v>1</v>
      </c>
      <c r="V88" t="b">
        <v>1</v>
      </c>
      <c r="W88" t="b">
        <v>1</v>
      </c>
      <c r="X88" t="b">
        <v>0</v>
      </c>
      <c r="Y88" t="b">
        <v>0</v>
      </c>
      <c r="Z88" t="b">
        <v>0</v>
      </c>
      <c r="AA88" t="b">
        <v>0</v>
      </c>
      <c r="AB88" t="s">
        <v>35</v>
      </c>
      <c r="AC88">
        <v>1698</v>
      </c>
      <c r="AD88">
        <v>9</v>
      </c>
      <c r="AE88">
        <v>55</v>
      </c>
      <c r="AF88">
        <v>2022</v>
      </c>
      <c r="AG88" t="s">
        <v>281</v>
      </c>
      <c r="AH88">
        <v>2026</v>
      </c>
      <c r="AI88">
        <v>389.38</v>
      </c>
      <c r="AJ88" t="s">
        <v>37</v>
      </c>
      <c r="AK88" t="s">
        <v>48</v>
      </c>
      <c r="AL88" t="s">
        <v>39</v>
      </c>
      <c r="AM88">
        <v>3058</v>
      </c>
      <c r="AN88" s="14" t="s">
        <v>832</v>
      </c>
      <c r="AO88" t="s">
        <v>48</v>
      </c>
      <c r="AP88">
        <v>7.7899999999999997E-2</v>
      </c>
      <c r="AQ88">
        <v>110.73</v>
      </c>
    </row>
    <row r="89" spans="1:43" x14ac:dyDescent="0.3">
      <c r="A89">
        <v>605682921</v>
      </c>
      <c r="B89" t="s">
        <v>727</v>
      </c>
      <c r="C89" t="s">
        <v>728</v>
      </c>
      <c r="D89" t="s">
        <v>116</v>
      </c>
      <c r="E89" t="s">
        <v>117</v>
      </c>
      <c r="F89" t="s">
        <v>729</v>
      </c>
      <c r="G89" t="s">
        <v>730</v>
      </c>
      <c r="H89" t="s">
        <v>193</v>
      </c>
      <c r="I89" s="1">
        <v>44980.949166666665</v>
      </c>
      <c r="J89" s="1">
        <v>46271.560266203705</v>
      </c>
      <c r="K89" s="1">
        <v>46274.002847222226</v>
      </c>
      <c r="L89">
        <v>186099</v>
      </c>
      <c r="M89">
        <v>2586</v>
      </c>
      <c r="N89">
        <v>2586</v>
      </c>
      <c r="O89">
        <v>214</v>
      </c>
      <c r="P89">
        <v>167</v>
      </c>
      <c r="Q89" t="s">
        <v>34</v>
      </c>
      <c r="R89" t="s">
        <v>731</v>
      </c>
      <c r="S89" t="s">
        <v>122</v>
      </c>
      <c r="T89" t="s">
        <v>732</v>
      </c>
      <c r="U89" t="b">
        <v>1</v>
      </c>
      <c r="V89" t="b">
        <v>1</v>
      </c>
      <c r="W89" t="b">
        <v>1</v>
      </c>
      <c r="X89" t="b">
        <v>1</v>
      </c>
      <c r="Y89" t="b">
        <v>0</v>
      </c>
      <c r="Z89" t="b">
        <v>0</v>
      </c>
      <c r="AA89" t="b">
        <v>0</v>
      </c>
      <c r="AB89" t="s">
        <v>35</v>
      </c>
      <c r="AC89">
        <v>1299</v>
      </c>
      <c r="AD89">
        <v>8</v>
      </c>
      <c r="AE89">
        <v>6</v>
      </c>
      <c r="AF89">
        <v>2023</v>
      </c>
      <c r="AG89" t="s">
        <v>98</v>
      </c>
      <c r="AH89">
        <v>2026</v>
      </c>
      <c r="AI89">
        <v>181.74</v>
      </c>
      <c r="AJ89" t="s">
        <v>37</v>
      </c>
      <c r="AK89" t="s">
        <v>48</v>
      </c>
      <c r="AL89" t="s">
        <v>39</v>
      </c>
      <c r="AM89">
        <v>3014</v>
      </c>
      <c r="AN89" s="14" t="s">
        <v>832</v>
      </c>
      <c r="AO89" t="s">
        <v>48</v>
      </c>
      <c r="AP89">
        <v>8.2799999999999999E-2</v>
      </c>
      <c r="AQ89">
        <v>64.58</v>
      </c>
    </row>
    <row r="90" spans="1:43" x14ac:dyDescent="0.3">
      <c r="A90">
        <v>268608991</v>
      </c>
      <c r="B90" t="s">
        <v>733</v>
      </c>
      <c r="C90" t="s">
        <v>734</v>
      </c>
      <c r="D90" t="s">
        <v>735</v>
      </c>
      <c r="E90" t="s">
        <v>134</v>
      </c>
      <c r="F90" t="s">
        <v>736</v>
      </c>
      <c r="G90" t="s">
        <v>737</v>
      </c>
      <c r="H90" t="s">
        <v>193</v>
      </c>
      <c r="I90" s="1">
        <v>43984.026331018518</v>
      </c>
      <c r="J90" s="1">
        <v>46271.975462962961</v>
      </c>
      <c r="K90" s="1">
        <v>45540.924097222225</v>
      </c>
      <c r="L90">
        <v>20554</v>
      </c>
      <c r="M90">
        <v>2569</v>
      </c>
      <c r="N90">
        <v>2569</v>
      </c>
      <c r="O90">
        <v>617</v>
      </c>
      <c r="P90">
        <v>3</v>
      </c>
      <c r="Q90" t="s">
        <v>120</v>
      </c>
      <c r="R90" t="s">
        <v>738</v>
      </c>
      <c r="S90" t="s">
        <v>169</v>
      </c>
      <c r="T90" t="s">
        <v>195</v>
      </c>
      <c r="U90" t="b">
        <v>0</v>
      </c>
      <c r="V90" t="b">
        <v>1</v>
      </c>
      <c r="W90" t="b">
        <v>1</v>
      </c>
      <c r="X90" t="b">
        <v>1</v>
      </c>
      <c r="Y90" t="b">
        <v>0</v>
      </c>
      <c r="Z90" t="b">
        <v>0</v>
      </c>
      <c r="AA90" t="b">
        <v>0</v>
      </c>
      <c r="AB90" t="s">
        <v>35</v>
      </c>
      <c r="AC90">
        <v>2296</v>
      </c>
      <c r="AD90">
        <v>8</v>
      </c>
      <c r="AE90">
        <v>739</v>
      </c>
      <c r="AF90">
        <v>2020</v>
      </c>
      <c r="AG90" t="s">
        <v>307</v>
      </c>
      <c r="AH90">
        <v>2026</v>
      </c>
      <c r="AI90">
        <v>20.07</v>
      </c>
      <c r="AJ90" t="s">
        <v>37</v>
      </c>
      <c r="AK90" t="s">
        <v>48</v>
      </c>
      <c r="AL90" t="s">
        <v>100</v>
      </c>
      <c r="AM90">
        <v>3803</v>
      </c>
      <c r="AN90" s="14" t="s">
        <v>832</v>
      </c>
      <c r="AO90" t="s">
        <v>48</v>
      </c>
      <c r="AP90">
        <v>0.2402</v>
      </c>
      <c r="AQ90">
        <v>1.17</v>
      </c>
    </row>
    <row r="91" spans="1:43" x14ac:dyDescent="0.3">
      <c r="A91">
        <v>248739733</v>
      </c>
      <c r="B91" t="s">
        <v>739</v>
      </c>
      <c r="C91" t="s">
        <v>740</v>
      </c>
      <c r="D91" t="s">
        <v>741</v>
      </c>
      <c r="E91" t="s">
        <v>134</v>
      </c>
      <c r="F91" t="s">
        <v>742</v>
      </c>
      <c r="G91" t="s">
        <v>743</v>
      </c>
      <c r="H91" t="s">
        <v>33</v>
      </c>
      <c r="I91" s="1">
        <v>43910.710416666669</v>
      </c>
      <c r="J91" s="1">
        <v>46273.304143518515</v>
      </c>
      <c r="K91" s="1">
        <v>45184.40320601852</v>
      </c>
      <c r="L91">
        <v>706</v>
      </c>
      <c r="M91">
        <v>2546</v>
      </c>
      <c r="N91">
        <v>2546</v>
      </c>
      <c r="O91">
        <v>380</v>
      </c>
      <c r="P91">
        <v>66</v>
      </c>
      <c r="Q91" t="s">
        <v>120</v>
      </c>
      <c r="R91" t="s">
        <v>744</v>
      </c>
      <c r="S91" t="s">
        <v>279</v>
      </c>
      <c r="T91" t="s">
        <v>745</v>
      </c>
      <c r="U91" t="b">
        <v>1</v>
      </c>
      <c r="V91" t="b">
        <v>1</v>
      </c>
      <c r="W91" t="b">
        <v>1</v>
      </c>
      <c r="X91" t="b">
        <v>0</v>
      </c>
      <c r="Y91" t="b">
        <v>0</v>
      </c>
      <c r="Z91" t="b">
        <v>0</v>
      </c>
      <c r="AA91" t="b">
        <v>0</v>
      </c>
      <c r="AB91" t="s">
        <v>35</v>
      </c>
      <c r="AC91">
        <v>2369</v>
      </c>
      <c r="AD91">
        <v>6</v>
      </c>
      <c r="AE91">
        <v>1095</v>
      </c>
      <c r="AF91">
        <v>2020</v>
      </c>
      <c r="AG91" t="s">
        <v>196</v>
      </c>
      <c r="AH91">
        <v>2026</v>
      </c>
      <c r="AI91">
        <v>0.69</v>
      </c>
      <c r="AJ91" t="s">
        <v>37</v>
      </c>
      <c r="AK91" t="s">
        <v>48</v>
      </c>
      <c r="AL91" t="s">
        <v>100</v>
      </c>
      <c r="AM91">
        <v>3306</v>
      </c>
      <c r="AN91" s="14" t="s">
        <v>832</v>
      </c>
      <c r="AO91" t="s">
        <v>38</v>
      </c>
      <c r="AP91">
        <v>0.14929999999999999</v>
      </c>
      <c r="AQ91">
        <v>25.92</v>
      </c>
    </row>
    <row r="92" spans="1:43" x14ac:dyDescent="0.3">
      <c r="A92">
        <v>88613768</v>
      </c>
      <c r="B92" t="s">
        <v>746</v>
      </c>
      <c r="C92" t="s">
        <v>747</v>
      </c>
      <c r="D92" t="s">
        <v>748</v>
      </c>
      <c r="E92" t="s">
        <v>134</v>
      </c>
      <c r="F92" t="s">
        <v>749</v>
      </c>
      <c r="G92" t="s">
        <v>750</v>
      </c>
      <c r="H92" t="s">
        <v>751</v>
      </c>
      <c r="I92" s="1">
        <v>42843.675856481481</v>
      </c>
      <c r="J92" s="1">
        <v>46271.150902777779</v>
      </c>
      <c r="K92" s="1">
        <v>46134.380949074075</v>
      </c>
      <c r="L92">
        <v>4732</v>
      </c>
      <c r="M92">
        <v>2524</v>
      </c>
      <c r="N92">
        <v>2524</v>
      </c>
      <c r="O92">
        <v>263</v>
      </c>
      <c r="P92">
        <v>160</v>
      </c>
      <c r="Q92" t="s">
        <v>120</v>
      </c>
      <c r="R92" t="s">
        <v>752</v>
      </c>
      <c r="S92" t="s">
        <v>169</v>
      </c>
      <c r="T92" t="s">
        <v>753</v>
      </c>
      <c r="U92" t="b">
        <v>1</v>
      </c>
      <c r="V92" t="b">
        <v>1</v>
      </c>
      <c r="W92" t="b">
        <v>1</v>
      </c>
      <c r="X92" t="b">
        <v>1</v>
      </c>
      <c r="Y92" t="b">
        <v>0</v>
      </c>
      <c r="Z92" t="b">
        <v>0</v>
      </c>
      <c r="AA92" t="b">
        <v>0</v>
      </c>
      <c r="AB92" t="s">
        <v>35</v>
      </c>
      <c r="AC92">
        <v>3436</v>
      </c>
      <c r="AD92">
        <v>9</v>
      </c>
      <c r="AE92">
        <v>145</v>
      </c>
      <c r="AF92">
        <v>2017</v>
      </c>
      <c r="AG92" t="s">
        <v>140</v>
      </c>
      <c r="AH92">
        <v>2026</v>
      </c>
      <c r="AI92">
        <v>4.62</v>
      </c>
      <c r="AJ92" t="s">
        <v>37</v>
      </c>
      <c r="AK92" t="s">
        <v>48</v>
      </c>
      <c r="AL92" t="s">
        <v>39</v>
      </c>
      <c r="AM92">
        <v>3050</v>
      </c>
      <c r="AN92" s="14" t="s">
        <v>832</v>
      </c>
      <c r="AO92" t="s">
        <v>48</v>
      </c>
      <c r="AP92">
        <v>0.1042</v>
      </c>
      <c r="AQ92">
        <v>63.39</v>
      </c>
    </row>
    <row r="93" spans="1:43" x14ac:dyDescent="0.3">
      <c r="A93">
        <v>146321178</v>
      </c>
      <c r="B93" t="s">
        <v>754</v>
      </c>
      <c r="C93" t="s">
        <v>755</v>
      </c>
      <c r="D93" t="s">
        <v>756</v>
      </c>
      <c r="E93" t="s">
        <v>117</v>
      </c>
      <c r="F93" t="s">
        <v>757</v>
      </c>
      <c r="G93" t="s">
        <v>758</v>
      </c>
      <c r="H93" t="s">
        <v>193</v>
      </c>
      <c r="I93" s="1">
        <v>43339.896377314813</v>
      </c>
      <c r="J93" s="1">
        <v>46272.191643518519</v>
      </c>
      <c r="K93" s="1">
        <v>45615.319374999999</v>
      </c>
      <c r="L93">
        <v>48965</v>
      </c>
      <c r="M93">
        <v>2511</v>
      </c>
      <c r="N93">
        <v>2511</v>
      </c>
      <c r="O93">
        <v>168</v>
      </c>
      <c r="P93">
        <v>2</v>
      </c>
      <c r="Q93" t="s">
        <v>120</v>
      </c>
      <c r="R93" t="s">
        <v>759</v>
      </c>
      <c r="S93" t="s">
        <v>122</v>
      </c>
      <c r="T93" t="s">
        <v>760</v>
      </c>
      <c r="U93" t="b">
        <v>1</v>
      </c>
      <c r="V93" t="b">
        <v>1</v>
      </c>
      <c r="W93" t="b">
        <v>1</v>
      </c>
      <c r="X93" t="b">
        <v>0</v>
      </c>
      <c r="Y93" t="b">
        <v>0</v>
      </c>
      <c r="Z93" t="b">
        <v>0</v>
      </c>
      <c r="AA93" t="b">
        <v>0</v>
      </c>
      <c r="AB93" t="s">
        <v>35</v>
      </c>
      <c r="AC93">
        <v>2940</v>
      </c>
      <c r="AD93">
        <v>8</v>
      </c>
      <c r="AE93">
        <v>664</v>
      </c>
      <c r="AF93">
        <v>2018</v>
      </c>
      <c r="AG93" t="s">
        <v>47</v>
      </c>
      <c r="AH93">
        <v>2026</v>
      </c>
      <c r="AI93">
        <v>47.82</v>
      </c>
      <c r="AJ93" t="s">
        <v>37</v>
      </c>
      <c r="AK93" t="s">
        <v>48</v>
      </c>
      <c r="AL93" t="s">
        <v>100</v>
      </c>
      <c r="AM93">
        <v>2847</v>
      </c>
      <c r="AN93" s="14" t="s">
        <v>832</v>
      </c>
      <c r="AO93" t="s">
        <v>48</v>
      </c>
      <c r="AP93">
        <v>6.6900000000000001E-2</v>
      </c>
      <c r="AQ93">
        <v>0.8</v>
      </c>
    </row>
    <row r="94" spans="1:43" x14ac:dyDescent="0.3">
      <c r="A94">
        <v>564689243</v>
      </c>
      <c r="B94" t="s">
        <v>761</v>
      </c>
      <c r="C94" t="s">
        <v>762</v>
      </c>
      <c r="D94" t="s">
        <v>447</v>
      </c>
      <c r="E94" t="s">
        <v>117</v>
      </c>
      <c r="F94" t="s">
        <v>763</v>
      </c>
      <c r="G94" t="s">
        <v>764</v>
      </c>
      <c r="H94" t="s">
        <v>320</v>
      </c>
      <c r="I94" s="1">
        <v>44876.610949074071</v>
      </c>
      <c r="J94" s="1">
        <v>46274.153900462959</v>
      </c>
      <c r="K94" s="1">
        <v>46274.519131944442</v>
      </c>
      <c r="L94">
        <v>257619</v>
      </c>
      <c r="M94">
        <v>2509</v>
      </c>
      <c r="N94">
        <v>2509</v>
      </c>
      <c r="O94">
        <v>216</v>
      </c>
      <c r="P94">
        <v>335</v>
      </c>
      <c r="Q94" t="s">
        <v>120</v>
      </c>
      <c r="R94" t="s">
        <v>765</v>
      </c>
      <c r="S94" t="s">
        <v>154</v>
      </c>
      <c r="T94" t="s">
        <v>766</v>
      </c>
      <c r="U94" t="b">
        <v>1</v>
      </c>
      <c r="V94" t="b">
        <v>1</v>
      </c>
      <c r="W94" t="b">
        <v>1</v>
      </c>
      <c r="X94" t="b">
        <v>1</v>
      </c>
      <c r="Y94" t="b">
        <v>0</v>
      </c>
      <c r="Z94" t="b">
        <v>0</v>
      </c>
      <c r="AA94" t="b">
        <v>0</v>
      </c>
      <c r="AB94" t="s">
        <v>35</v>
      </c>
      <c r="AC94">
        <v>1403</v>
      </c>
      <c r="AD94">
        <v>6</v>
      </c>
      <c r="AE94">
        <v>5</v>
      </c>
      <c r="AF94">
        <v>2022</v>
      </c>
      <c r="AG94" t="s">
        <v>205</v>
      </c>
      <c r="AH94">
        <v>2026</v>
      </c>
      <c r="AI94">
        <v>251.58</v>
      </c>
      <c r="AJ94" t="s">
        <v>37</v>
      </c>
      <c r="AK94" t="s">
        <v>48</v>
      </c>
      <c r="AL94" t="s">
        <v>39</v>
      </c>
      <c r="AM94">
        <v>2941</v>
      </c>
      <c r="AN94" s="14" t="s">
        <v>832</v>
      </c>
      <c r="AO94" t="s">
        <v>48</v>
      </c>
      <c r="AP94">
        <v>8.6099999999999996E-2</v>
      </c>
      <c r="AQ94">
        <v>133.52000000000001</v>
      </c>
    </row>
    <row r="95" spans="1:43" x14ac:dyDescent="0.3">
      <c r="A95">
        <v>401275197</v>
      </c>
      <c r="B95" t="s">
        <v>767</v>
      </c>
      <c r="C95" t="s">
        <v>768</v>
      </c>
      <c r="D95" t="s">
        <v>769</v>
      </c>
      <c r="E95" t="s">
        <v>117</v>
      </c>
      <c r="F95" t="s">
        <v>770</v>
      </c>
      <c r="G95" t="s">
        <v>771</v>
      </c>
      <c r="H95" t="s">
        <v>772</v>
      </c>
      <c r="I95" s="1">
        <v>44438.5940162037</v>
      </c>
      <c r="J95" s="1">
        <v>46273.920266203706</v>
      </c>
      <c r="K95" s="1">
        <v>46274.49728009259</v>
      </c>
      <c r="L95">
        <v>250053</v>
      </c>
      <c r="M95">
        <v>2406</v>
      </c>
      <c r="N95">
        <v>2406</v>
      </c>
      <c r="O95">
        <v>226</v>
      </c>
      <c r="P95">
        <v>11</v>
      </c>
      <c r="Q95" t="s">
        <v>120</v>
      </c>
      <c r="R95" t="s">
        <v>773</v>
      </c>
      <c r="S95" t="s">
        <v>122</v>
      </c>
      <c r="T95" t="s">
        <v>774</v>
      </c>
      <c r="U95" t="b">
        <v>1</v>
      </c>
      <c r="V95" t="b">
        <v>1</v>
      </c>
      <c r="W95" t="b">
        <v>1</v>
      </c>
      <c r="X95" t="b">
        <v>0</v>
      </c>
      <c r="Y95" t="b">
        <v>0</v>
      </c>
      <c r="Z95" t="b">
        <v>0</v>
      </c>
      <c r="AA95" t="b">
        <v>0</v>
      </c>
      <c r="AB95" t="s">
        <v>35</v>
      </c>
      <c r="AC95">
        <v>1841</v>
      </c>
      <c r="AD95">
        <v>6</v>
      </c>
      <c r="AE95">
        <v>5</v>
      </c>
      <c r="AF95">
        <v>2021</v>
      </c>
      <c r="AG95" t="s">
        <v>47</v>
      </c>
      <c r="AH95">
        <v>2026</v>
      </c>
      <c r="AI95">
        <v>244.19</v>
      </c>
      <c r="AJ95" t="s">
        <v>37</v>
      </c>
      <c r="AK95" t="s">
        <v>48</v>
      </c>
      <c r="AL95" t="s">
        <v>39</v>
      </c>
      <c r="AM95">
        <v>2858</v>
      </c>
      <c r="AN95" s="14" t="s">
        <v>832</v>
      </c>
      <c r="AO95" t="s">
        <v>48</v>
      </c>
      <c r="AP95">
        <v>9.3899999999999997E-2</v>
      </c>
      <c r="AQ95">
        <v>4.57</v>
      </c>
    </row>
    <row r="96" spans="1:43" x14ac:dyDescent="0.3">
      <c r="A96">
        <v>297152797</v>
      </c>
      <c r="B96" t="s">
        <v>775</v>
      </c>
      <c r="C96" t="s">
        <v>776</v>
      </c>
      <c r="D96" t="s">
        <v>777</v>
      </c>
      <c r="E96" t="s">
        <v>134</v>
      </c>
      <c r="F96" t="s">
        <v>778</v>
      </c>
      <c r="G96" t="s">
        <v>779</v>
      </c>
      <c r="H96" t="s">
        <v>202</v>
      </c>
      <c r="I96" s="1">
        <v>44095.059386574074</v>
      </c>
      <c r="J96" s="1">
        <v>46256.130856481483</v>
      </c>
      <c r="K96" s="1">
        <v>46230.020069444443</v>
      </c>
      <c r="L96">
        <v>128771</v>
      </c>
      <c r="M96">
        <v>2353</v>
      </c>
      <c r="N96">
        <v>2353</v>
      </c>
      <c r="O96">
        <v>135</v>
      </c>
      <c r="P96">
        <v>20</v>
      </c>
      <c r="Q96" t="s">
        <v>120</v>
      </c>
      <c r="R96" t="s">
        <v>780</v>
      </c>
      <c r="S96" t="s">
        <v>122</v>
      </c>
      <c r="T96" t="s">
        <v>781</v>
      </c>
      <c r="U96" t="b">
        <v>1</v>
      </c>
      <c r="V96" t="b">
        <v>1</v>
      </c>
      <c r="W96" t="b">
        <v>0</v>
      </c>
      <c r="X96" t="b">
        <v>1</v>
      </c>
      <c r="Y96" t="b">
        <v>0</v>
      </c>
      <c r="Z96" t="b">
        <v>0</v>
      </c>
      <c r="AA96" t="b">
        <v>0</v>
      </c>
      <c r="AB96" t="s">
        <v>35</v>
      </c>
      <c r="AC96">
        <v>2185</v>
      </c>
      <c r="AD96">
        <v>24</v>
      </c>
      <c r="AE96">
        <v>50</v>
      </c>
      <c r="AF96">
        <v>2020</v>
      </c>
      <c r="AG96" t="s">
        <v>36</v>
      </c>
      <c r="AH96">
        <v>2026</v>
      </c>
      <c r="AI96">
        <v>125.75</v>
      </c>
      <c r="AJ96" t="s">
        <v>37</v>
      </c>
      <c r="AK96" t="s">
        <v>48</v>
      </c>
      <c r="AL96" t="s">
        <v>39</v>
      </c>
      <c r="AM96">
        <v>2623</v>
      </c>
      <c r="AN96" s="14" t="s">
        <v>832</v>
      </c>
      <c r="AO96" t="s">
        <v>48</v>
      </c>
      <c r="AP96">
        <v>5.74E-2</v>
      </c>
      <c r="AQ96">
        <v>8.5</v>
      </c>
    </row>
    <row r="97" spans="1:43" x14ac:dyDescent="0.3">
      <c r="A97">
        <v>93753128</v>
      </c>
      <c r="B97" t="s">
        <v>782</v>
      </c>
      <c r="C97" t="s">
        <v>783</v>
      </c>
      <c r="D97" t="s">
        <v>784</v>
      </c>
      <c r="E97" t="s">
        <v>134</v>
      </c>
      <c r="F97" t="s">
        <v>785</v>
      </c>
      <c r="G97" t="s">
        <v>786</v>
      </c>
      <c r="H97" t="s">
        <v>53</v>
      </c>
      <c r="I97" s="1">
        <v>42894.79446759259</v>
      </c>
      <c r="J97" s="1">
        <v>46266.990740740737</v>
      </c>
      <c r="K97" s="1">
        <v>45525.693356481483</v>
      </c>
      <c r="L97">
        <v>181</v>
      </c>
      <c r="M97">
        <v>2317</v>
      </c>
      <c r="N97">
        <v>2317</v>
      </c>
      <c r="O97">
        <v>300</v>
      </c>
      <c r="P97">
        <v>27</v>
      </c>
      <c r="Q97" t="s">
        <v>120</v>
      </c>
      <c r="R97" t="s">
        <v>787</v>
      </c>
      <c r="S97" t="s">
        <v>169</v>
      </c>
      <c r="T97" t="s">
        <v>195</v>
      </c>
      <c r="U97" t="b">
        <v>1</v>
      </c>
      <c r="V97" t="b">
        <v>1</v>
      </c>
      <c r="W97" t="b">
        <v>1</v>
      </c>
      <c r="X97" t="b">
        <v>0</v>
      </c>
      <c r="Y97" t="b">
        <v>0</v>
      </c>
      <c r="Z97" t="b">
        <v>0</v>
      </c>
      <c r="AA97" t="b">
        <v>0</v>
      </c>
      <c r="AB97" t="s">
        <v>35</v>
      </c>
      <c r="AC97">
        <v>3385</v>
      </c>
      <c r="AD97">
        <v>13</v>
      </c>
      <c r="AE97">
        <v>754</v>
      </c>
      <c r="AF97">
        <v>2017</v>
      </c>
      <c r="AG97" t="s">
        <v>307</v>
      </c>
      <c r="AH97">
        <v>2026</v>
      </c>
      <c r="AI97">
        <v>0.18</v>
      </c>
      <c r="AJ97" t="s">
        <v>37</v>
      </c>
      <c r="AK97" t="s">
        <v>48</v>
      </c>
      <c r="AL97" t="s">
        <v>100</v>
      </c>
      <c r="AM97">
        <v>2917</v>
      </c>
      <c r="AN97" s="14" t="s">
        <v>832</v>
      </c>
      <c r="AO97" t="s">
        <v>48</v>
      </c>
      <c r="AP97">
        <v>0.1295</v>
      </c>
      <c r="AQ97">
        <v>11.65</v>
      </c>
    </row>
    <row r="98" spans="1:43" x14ac:dyDescent="0.3">
      <c r="A98">
        <v>417448864</v>
      </c>
      <c r="B98" t="s">
        <v>788</v>
      </c>
      <c r="C98" t="s">
        <v>789</v>
      </c>
      <c r="D98" t="s">
        <v>790</v>
      </c>
      <c r="E98" t="s">
        <v>117</v>
      </c>
      <c r="F98" t="s">
        <v>791</v>
      </c>
      <c r="G98" t="s">
        <v>792</v>
      </c>
      <c r="H98" t="s">
        <v>342</v>
      </c>
      <c r="I98" s="1">
        <v>44484.639340277776</v>
      </c>
      <c r="J98" s="1">
        <v>46274.355393518519</v>
      </c>
      <c r="K98" s="1">
        <v>45698.555567129632</v>
      </c>
      <c r="L98">
        <v>21493</v>
      </c>
      <c r="M98">
        <v>2305</v>
      </c>
      <c r="N98">
        <v>2305</v>
      </c>
      <c r="O98">
        <v>655</v>
      </c>
      <c r="P98">
        <v>415</v>
      </c>
      <c r="Q98" t="s">
        <v>120</v>
      </c>
      <c r="R98" t="s">
        <v>793</v>
      </c>
      <c r="S98" t="s">
        <v>122</v>
      </c>
      <c r="T98" t="s">
        <v>794</v>
      </c>
      <c r="U98" t="b">
        <v>1</v>
      </c>
      <c r="V98" t="b">
        <v>1</v>
      </c>
      <c r="W98" t="b">
        <v>1</v>
      </c>
      <c r="X98" t="b">
        <v>0</v>
      </c>
      <c r="Y98" t="b">
        <v>0</v>
      </c>
      <c r="Z98" t="b">
        <v>0</v>
      </c>
      <c r="AA98" t="b">
        <v>0</v>
      </c>
      <c r="AB98" t="s">
        <v>35</v>
      </c>
      <c r="AC98">
        <v>1795</v>
      </c>
      <c r="AD98">
        <v>5</v>
      </c>
      <c r="AE98">
        <v>581</v>
      </c>
      <c r="AF98">
        <v>2021</v>
      </c>
      <c r="AG98" t="s">
        <v>171</v>
      </c>
      <c r="AH98">
        <v>2026</v>
      </c>
      <c r="AI98">
        <v>20.99</v>
      </c>
      <c r="AJ98" t="s">
        <v>37</v>
      </c>
      <c r="AK98" t="s">
        <v>48</v>
      </c>
      <c r="AL98" t="s">
        <v>100</v>
      </c>
      <c r="AM98">
        <v>3615</v>
      </c>
      <c r="AN98" s="14" t="s">
        <v>832</v>
      </c>
      <c r="AO98" t="s">
        <v>48</v>
      </c>
      <c r="AP98">
        <v>0.28420000000000001</v>
      </c>
      <c r="AQ98">
        <v>180.04</v>
      </c>
    </row>
    <row r="99" spans="1:43" x14ac:dyDescent="0.3">
      <c r="A99">
        <v>84213938</v>
      </c>
      <c r="B99" t="s">
        <v>795</v>
      </c>
      <c r="C99" t="s">
        <v>796</v>
      </c>
      <c r="D99" t="s">
        <v>797</v>
      </c>
      <c r="E99" t="s">
        <v>117</v>
      </c>
      <c r="F99" t="s">
        <v>798</v>
      </c>
      <c r="G99" t="s">
        <v>799</v>
      </c>
      <c r="H99" t="s">
        <v>342</v>
      </c>
      <c r="I99" s="1">
        <v>42801.866608796299</v>
      </c>
      <c r="J99" s="1">
        <v>46266.99082175926</v>
      </c>
      <c r="K99" s="1">
        <v>44942.064236111109</v>
      </c>
      <c r="L99">
        <v>37230</v>
      </c>
      <c r="M99">
        <v>2299</v>
      </c>
      <c r="N99">
        <v>2299</v>
      </c>
      <c r="O99">
        <v>265</v>
      </c>
      <c r="P99">
        <v>46</v>
      </c>
      <c r="Q99" t="s">
        <v>120</v>
      </c>
      <c r="R99" t="s">
        <v>800</v>
      </c>
      <c r="S99" t="s">
        <v>154</v>
      </c>
      <c r="T99" t="s">
        <v>801</v>
      </c>
      <c r="U99" t="b">
        <v>1</v>
      </c>
      <c r="V99" t="b">
        <v>0</v>
      </c>
      <c r="W99" t="b">
        <v>0</v>
      </c>
      <c r="X99" t="b">
        <v>0</v>
      </c>
      <c r="Y99" t="b">
        <v>0</v>
      </c>
      <c r="Z99" t="b">
        <v>0</v>
      </c>
      <c r="AA99" t="b">
        <v>0</v>
      </c>
      <c r="AB99" t="s">
        <v>35</v>
      </c>
      <c r="AC99">
        <v>3478</v>
      </c>
      <c r="AD99">
        <v>13</v>
      </c>
      <c r="AE99">
        <v>1338</v>
      </c>
      <c r="AF99">
        <v>2017</v>
      </c>
      <c r="AG99" t="s">
        <v>196</v>
      </c>
      <c r="AH99">
        <v>2026</v>
      </c>
      <c r="AI99">
        <v>36.36</v>
      </c>
      <c r="AJ99" t="s">
        <v>37</v>
      </c>
      <c r="AK99" t="s">
        <v>48</v>
      </c>
      <c r="AL99" t="s">
        <v>100</v>
      </c>
      <c r="AM99">
        <v>2829</v>
      </c>
      <c r="AN99" s="14" t="s">
        <v>832</v>
      </c>
      <c r="AO99" t="s">
        <v>48</v>
      </c>
      <c r="AP99">
        <v>0.1153</v>
      </c>
      <c r="AQ99">
        <v>20.010000000000002</v>
      </c>
    </row>
    <row r="100" spans="1:43" x14ac:dyDescent="0.3">
      <c r="A100">
        <v>183729552</v>
      </c>
      <c r="B100" t="s">
        <v>33</v>
      </c>
      <c r="C100" t="s">
        <v>802</v>
      </c>
      <c r="D100" t="s">
        <v>803</v>
      </c>
      <c r="E100" t="s">
        <v>134</v>
      </c>
      <c r="F100" t="s">
        <v>804</v>
      </c>
      <c r="G100" t="s">
        <v>805</v>
      </c>
      <c r="H100" t="s">
        <v>193</v>
      </c>
      <c r="I100" s="1">
        <v>43582.430509259262</v>
      </c>
      <c r="J100" s="1">
        <v>46274.461828703701</v>
      </c>
      <c r="K100" s="1">
        <v>46274.342962962961</v>
      </c>
      <c r="L100">
        <v>90791</v>
      </c>
      <c r="M100">
        <v>2260</v>
      </c>
      <c r="N100">
        <v>2260</v>
      </c>
      <c r="O100">
        <v>933</v>
      </c>
      <c r="P100">
        <v>10</v>
      </c>
      <c r="Q100" t="s">
        <v>120</v>
      </c>
      <c r="R100" t="s">
        <v>806</v>
      </c>
      <c r="S100" t="s">
        <v>279</v>
      </c>
      <c r="T100" t="s">
        <v>807</v>
      </c>
      <c r="U100" t="b">
        <v>1</v>
      </c>
      <c r="V100" t="b">
        <v>1</v>
      </c>
      <c r="W100" t="b">
        <v>1</v>
      </c>
      <c r="X100" t="b">
        <v>1</v>
      </c>
      <c r="Y100" t="b">
        <v>0</v>
      </c>
      <c r="Z100" t="b">
        <v>0</v>
      </c>
      <c r="AA100" t="b">
        <v>0</v>
      </c>
      <c r="AB100" t="s">
        <v>35</v>
      </c>
      <c r="AC100">
        <v>2697</v>
      </c>
      <c r="AD100">
        <v>5</v>
      </c>
      <c r="AE100">
        <v>5</v>
      </c>
      <c r="AF100">
        <v>2019</v>
      </c>
      <c r="AG100" t="s">
        <v>140</v>
      </c>
      <c r="AH100">
        <v>2026</v>
      </c>
      <c r="AI100">
        <v>88.66</v>
      </c>
      <c r="AJ100" t="s">
        <v>37</v>
      </c>
      <c r="AK100" t="s">
        <v>48</v>
      </c>
      <c r="AL100" t="s">
        <v>39</v>
      </c>
      <c r="AM100">
        <v>4126</v>
      </c>
      <c r="AN100" s="14" t="s">
        <v>832</v>
      </c>
      <c r="AO100" t="s">
        <v>38</v>
      </c>
      <c r="AP100">
        <v>0.4128</v>
      </c>
      <c r="AQ100">
        <v>4.42</v>
      </c>
    </row>
    <row r="101" spans="1:43" x14ac:dyDescent="0.3">
      <c r="A101">
        <v>55170630</v>
      </c>
      <c r="B101" t="s">
        <v>808</v>
      </c>
      <c r="C101" t="s">
        <v>809</v>
      </c>
      <c r="D101" t="s">
        <v>810</v>
      </c>
      <c r="E101" t="s">
        <v>134</v>
      </c>
      <c r="F101" t="s">
        <v>811</v>
      </c>
      <c r="G101" t="s">
        <v>812</v>
      </c>
      <c r="H101" t="s">
        <v>193</v>
      </c>
      <c r="I101" s="1">
        <v>42460.965057870373</v>
      </c>
      <c r="J101" s="1">
        <v>46273.842615740738</v>
      </c>
      <c r="K101" s="1">
        <v>45357.040868055556</v>
      </c>
      <c r="L101">
        <v>1927</v>
      </c>
      <c r="M101">
        <v>2251</v>
      </c>
      <c r="N101">
        <v>2251</v>
      </c>
      <c r="O101">
        <v>1920</v>
      </c>
      <c r="P101">
        <v>0</v>
      </c>
      <c r="Q101" t="s">
        <v>120</v>
      </c>
      <c r="R101" t="s">
        <v>813</v>
      </c>
      <c r="S101" t="s">
        <v>279</v>
      </c>
      <c r="T101" t="s">
        <v>814</v>
      </c>
      <c r="U101" t="b">
        <v>1</v>
      </c>
      <c r="V101" t="b">
        <v>1</v>
      </c>
      <c r="W101" t="b">
        <v>1</v>
      </c>
      <c r="X101" t="b">
        <v>0</v>
      </c>
      <c r="Y101" t="b">
        <v>0</v>
      </c>
      <c r="Z101" t="b">
        <v>0</v>
      </c>
      <c r="AA101" t="b">
        <v>0</v>
      </c>
      <c r="AB101" t="s">
        <v>35</v>
      </c>
      <c r="AC101">
        <v>3819</v>
      </c>
      <c r="AD101">
        <v>6</v>
      </c>
      <c r="AE101">
        <v>923</v>
      </c>
      <c r="AF101">
        <v>2016</v>
      </c>
      <c r="AG101" t="s">
        <v>196</v>
      </c>
      <c r="AH101">
        <v>2026</v>
      </c>
      <c r="AI101">
        <v>1.88</v>
      </c>
      <c r="AJ101" t="s">
        <v>37</v>
      </c>
      <c r="AK101" t="s">
        <v>48</v>
      </c>
      <c r="AL101" t="s">
        <v>100</v>
      </c>
      <c r="AM101">
        <v>6091</v>
      </c>
      <c r="AN101" s="14" t="s">
        <v>832</v>
      </c>
      <c r="AO101" t="s">
        <v>38</v>
      </c>
      <c r="AP101">
        <v>0.85299999999999998</v>
      </c>
      <c r="AQ1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BA97-54D2-4AAF-852B-F02295F2FC3B}">
  <dimension ref="A1:AE16"/>
  <sheetViews>
    <sheetView topLeftCell="M1" workbookViewId="0">
      <selection activeCell="C22" sqref="C22"/>
    </sheetView>
  </sheetViews>
  <sheetFormatPr defaultRowHeight="14.4" x14ac:dyDescent="0.3"/>
  <cols>
    <col min="1" max="1" width="14.33203125" bestFit="1" customWidth="1"/>
    <col min="2" max="2" width="38.33203125" bestFit="1" customWidth="1"/>
    <col min="3" max="3" width="50.44140625" bestFit="1" customWidth="1"/>
    <col min="4" max="4" width="67" bestFit="1" customWidth="1"/>
    <col min="5" max="5" width="80.88671875" bestFit="1" customWidth="1"/>
    <col min="6" max="6" width="18.5546875" bestFit="1" customWidth="1"/>
    <col min="7" max="9" width="15.44140625" bestFit="1" customWidth="1"/>
    <col min="10" max="10" width="9.33203125" bestFit="1" customWidth="1"/>
    <col min="11" max="11" width="13" bestFit="1" customWidth="1"/>
    <col min="12" max="12" width="16.77734375" bestFit="1" customWidth="1"/>
    <col min="13" max="13" width="13.33203125" bestFit="1" customWidth="1"/>
    <col min="14" max="14" width="19.5546875" bestFit="1" customWidth="1"/>
    <col min="15" max="15" width="16.21875" bestFit="1" customWidth="1"/>
    <col min="17" max="17" width="12.6640625" bestFit="1" customWidth="1"/>
    <col min="18" max="18" width="12.44140625" bestFit="1" customWidth="1"/>
    <col min="19" max="19" width="10" bestFit="1" customWidth="1"/>
    <col min="20" max="20" width="20.88671875" bestFit="1" customWidth="1"/>
    <col min="21" max="21" width="19.5546875" bestFit="1" customWidth="1"/>
    <col min="22" max="22" width="21.5546875" bestFit="1" customWidth="1"/>
    <col min="23" max="23" width="14.21875" bestFit="1" customWidth="1"/>
    <col min="24" max="24" width="16.33203125" bestFit="1" customWidth="1"/>
    <col min="25" max="25" width="15" bestFit="1" customWidth="1"/>
    <col min="26" max="26" width="10" bestFit="1" customWidth="1"/>
    <col min="27" max="27" width="16.6640625" bestFit="1" customWidth="1"/>
    <col min="28" max="28" width="16.5546875" bestFit="1" customWidth="1"/>
    <col min="29" max="29" width="15.44140625" bestFit="1" customWidth="1"/>
    <col min="30" max="30" width="17.44140625" customWidth="1"/>
    <col min="31" max="31" width="24.3320312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110</v>
      </c>
      <c r="W1" t="s">
        <v>21</v>
      </c>
      <c r="X1" t="s">
        <v>22</v>
      </c>
      <c r="Y1" t="s">
        <v>23</v>
      </c>
      <c r="Z1" t="s">
        <v>24</v>
      </c>
      <c r="AA1" t="s">
        <v>25</v>
      </c>
      <c r="AB1" t="s">
        <v>26</v>
      </c>
      <c r="AC1" t="s">
        <v>27</v>
      </c>
      <c r="AD1" t="s">
        <v>28</v>
      </c>
      <c r="AE1" t="s">
        <v>831</v>
      </c>
    </row>
    <row r="2" spans="1:31" x14ac:dyDescent="0.3">
      <c r="A2">
        <v>1355657419</v>
      </c>
      <c r="B2" t="s">
        <v>29</v>
      </c>
      <c r="C2" t="s">
        <v>30</v>
      </c>
      <c r="D2" t="s">
        <v>31</v>
      </c>
      <c r="E2" t="s">
        <v>32</v>
      </c>
      <c r="F2" t="s">
        <v>33</v>
      </c>
      <c r="G2" s="1">
        <v>46268.314270833333</v>
      </c>
      <c r="H2" s="1">
        <v>46268.409155092595</v>
      </c>
      <c r="I2" s="1">
        <v>46268.409097222226</v>
      </c>
      <c r="J2">
        <v>1201</v>
      </c>
      <c r="K2">
        <v>0</v>
      </c>
      <c r="L2">
        <v>0</v>
      </c>
      <c r="M2">
        <v>0</v>
      </c>
      <c r="N2">
        <v>0</v>
      </c>
      <c r="O2" t="s">
        <v>34</v>
      </c>
      <c r="P2" t="b">
        <v>0</v>
      </c>
      <c r="Q2" t="b">
        <v>0</v>
      </c>
      <c r="R2" t="b">
        <v>0</v>
      </c>
      <c r="S2" t="s">
        <v>35</v>
      </c>
      <c r="T2">
        <v>11</v>
      </c>
      <c r="U2">
        <v>11</v>
      </c>
      <c r="V2">
        <v>11</v>
      </c>
      <c r="W2">
        <v>2026</v>
      </c>
      <c r="X2" t="s">
        <v>36</v>
      </c>
      <c r="Y2">
        <v>2026</v>
      </c>
      <c r="Z2">
        <v>1.17</v>
      </c>
      <c r="AA2" t="s">
        <v>37</v>
      </c>
      <c r="AB2" t="s">
        <v>38</v>
      </c>
      <c r="AC2" t="s">
        <v>39</v>
      </c>
      <c r="AD2">
        <v>0</v>
      </c>
      <c r="AE2" s="14" t="s">
        <v>832</v>
      </c>
    </row>
    <row r="3" spans="1:31" x14ac:dyDescent="0.3">
      <c r="A3">
        <v>1353393779</v>
      </c>
      <c r="B3" t="s">
        <v>40</v>
      </c>
      <c r="C3" t="s">
        <v>41</v>
      </c>
      <c r="D3" t="s">
        <v>42</v>
      </c>
      <c r="E3" t="s">
        <v>32</v>
      </c>
      <c r="F3" t="s">
        <v>33</v>
      </c>
      <c r="G3" s="1">
        <v>46266.403831018521</v>
      </c>
      <c r="H3" s="1">
        <v>46266.445069444446</v>
      </c>
      <c r="I3" s="1">
        <v>46266.442743055559</v>
      </c>
      <c r="J3">
        <v>1156</v>
      </c>
      <c r="K3">
        <v>0</v>
      </c>
      <c r="L3">
        <v>0</v>
      </c>
      <c r="M3">
        <v>0</v>
      </c>
      <c r="N3">
        <v>0</v>
      </c>
      <c r="O3" t="s">
        <v>34</v>
      </c>
      <c r="P3" t="b">
        <v>0</v>
      </c>
      <c r="Q3" t="b">
        <v>0</v>
      </c>
      <c r="R3" t="b">
        <v>0</v>
      </c>
      <c r="S3" t="s">
        <v>35</v>
      </c>
      <c r="T3">
        <v>13</v>
      </c>
      <c r="U3">
        <v>13</v>
      </c>
      <c r="V3">
        <v>13</v>
      </c>
      <c r="W3">
        <v>2026</v>
      </c>
      <c r="X3" t="s">
        <v>36</v>
      </c>
      <c r="Y3">
        <v>2026</v>
      </c>
      <c r="Z3">
        <v>1.1299999999999999</v>
      </c>
      <c r="AA3" t="s">
        <v>37</v>
      </c>
      <c r="AB3" t="s">
        <v>38</v>
      </c>
      <c r="AC3" t="s">
        <v>39</v>
      </c>
      <c r="AD3">
        <v>0</v>
      </c>
      <c r="AE3" s="14" t="s">
        <v>832</v>
      </c>
    </row>
    <row r="4" spans="1:31" x14ac:dyDescent="0.3">
      <c r="A4">
        <v>1339402119</v>
      </c>
      <c r="B4" t="s">
        <v>43</v>
      </c>
      <c r="C4" t="s">
        <v>44</v>
      </c>
      <c r="D4" t="s">
        <v>45</v>
      </c>
      <c r="E4" t="s">
        <v>46</v>
      </c>
      <c r="F4" t="s">
        <v>33</v>
      </c>
      <c r="G4" s="1">
        <v>46253.417048611111</v>
      </c>
      <c r="H4" s="1">
        <v>46253.435358796298</v>
      </c>
      <c r="I4" s="1">
        <v>46253.433587962965</v>
      </c>
      <c r="J4">
        <v>29</v>
      </c>
      <c r="K4">
        <v>0</v>
      </c>
      <c r="L4">
        <v>0</v>
      </c>
      <c r="M4">
        <v>0</v>
      </c>
      <c r="N4">
        <v>0</v>
      </c>
      <c r="O4" t="s">
        <v>34</v>
      </c>
      <c r="P4" t="b">
        <v>0</v>
      </c>
      <c r="Q4" t="b">
        <v>0</v>
      </c>
      <c r="R4" t="b">
        <v>0</v>
      </c>
      <c r="S4" t="s">
        <v>35</v>
      </c>
      <c r="T4">
        <v>26</v>
      </c>
      <c r="U4">
        <v>26</v>
      </c>
      <c r="V4">
        <v>26</v>
      </c>
      <c r="W4">
        <v>2026</v>
      </c>
      <c r="X4" t="s">
        <v>47</v>
      </c>
      <c r="Y4">
        <v>2026</v>
      </c>
      <c r="Z4">
        <v>0.03</v>
      </c>
      <c r="AA4" t="s">
        <v>37</v>
      </c>
      <c r="AB4" t="s">
        <v>48</v>
      </c>
      <c r="AC4" t="s">
        <v>39</v>
      </c>
      <c r="AD4">
        <v>0</v>
      </c>
      <c r="AE4" s="14" t="s">
        <v>832</v>
      </c>
    </row>
    <row r="5" spans="1:31" x14ac:dyDescent="0.3">
      <c r="A5">
        <v>1290770586</v>
      </c>
      <c r="B5" t="s">
        <v>49</v>
      </c>
      <c r="C5" t="s">
        <v>50</v>
      </c>
      <c r="D5" t="s">
        <v>51</v>
      </c>
      <c r="E5" t="s">
        <v>52</v>
      </c>
      <c r="F5" t="s">
        <v>53</v>
      </c>
      <c r="G5" s="1">
        <v>46209.345150462963</v>
      </c>
      <c r="H5" s="1">
        <v>46246.431967592594</v>
      </c>
      <c r="I5" s="1">
        <v>46211.409224537034</v>
      </c>
      <c r="J5">
        <v>1249</v>
      </c>
      <c r="K5">
        <v>0</v>
      </c>
      <c r="L5">
        <v>0</v>
      </c>
      <c r="M5">
        <v>0</v>
      </c>
      <c r="N5">
        <v>0</v>
      </c>
      <c r="O5" t="s">
        <v>34</v>
      </c>
      <c r="P5" t="b">
        <v>0</v>
      </c>
      <c r="Q5" t="b">
        <v>0</v>
      </c>
      <c r="R5" t="b">
        <v>0</v>
      </c>
      <c r="S5" t="s">
        <v>35</v>
      </c>
      <c r="T5">
        <v>70</v>
      </c>
      <c r="U5">
        <v>33</v>
      </c>
      <c r="V5">
        <v>68</v>
      </c>
      <c r="W5">
        <v>2026</v>
      </c>
      <c r="X5" t="s">
        <v>54</v>
      </c>
      <c r="Y5">
        <v>2026</v>
      </c>
      <c r="Z5">
        <v>1.22</v>
      </c>
      <c r="AA5" t="s">
        <v>37</v>
      </c>
      <c r="AB5" t="s">
        <v>48</v>
      </c>
      <c r="AC5" t="s">
        <v>39</v>
      </c>
      <c r="AD5">
        <v>0</v>
      </c>
      <c r="AE5" s="14" t="s">
        <v>832</v>
      </c>
    </row>
    <row r="6" spans="1:31" x14ac:dyDescent="0.3">
      <c r="A6">
        <v>1331874837</v>
      </c>
      <c r="B6" t="s">
        <v>55</v>
      </c>
      <c r="C6" t="s">
        <v>56</v>
      </c>
      <c r="D6" t="s">
        <v>57</v>
      </c>
      <c r="E6" t="s">
        <v>58</v>
      </c>
      <c r="F6" t="s">
        <v>33</v>
      </c>
      <c r="G6" s="1">
        <v>46246.416412037041</v>
      </c>
      <c r="H6" s="1">
        <v>46246.428090277775</v>
      </c>
      <c r="I6" s="1">
        <v>46246.428043981483</v>
      </c>
      <c r="J6">
        <v>20</v>
      </c>
      <c r="K6">
        <v>0</v>
      </c>
      <c r="L6">
        <v>0</v>
      </c>
      <c r="M6">
        <v>0</v>
      </c>
      <c r="N6">
        <v>0</v>
      </c>
      <c r="O6" t="s">
        <v>34</v>
      </c>
      <c r="P6" t="b">
        <v>0</v>
      </c>
      <c r="Q6" t="b">
        <v>0</v>
      </c>
      <c r="R6" t="b">
        <v>0</v>
      </c>
      <c r="S6" t="s">
        <v>35</v>
      </c>
      <c r="T6">
        <v>33</v>
      </c>
      <c r="U6">
        <v>33</v>
      </c>
      <c r="V6">
        <v>33</v>
      </c>
      <c r="W6">
        <v>2026</v>
      </c>
      <c r="X6" t="s">
        <v>47</v>
      </c>
      <c r="Y6">
        <v>2026</v>
      </c>
      <c r="Z6">
        <v>0.02</v>
      </c>
      <c r="AA6" t="s">
        <v>37</v>
      </c>
      <c r="AB6" t="s">
        <v>48</v>
      </c>
      <c r="AC6" t="s">
        <v>39</v>
      </c>
      <c r="AD6">
        <v>0</v>
      </c>
      <c r="AE6" s="14" t="s">
        <v>832</v>
      </c>
    </row>
    <row r="7" spans="1:31" x14ac:dyDescent="0.3">
      <c r="A7">
        <v>1293318534</v>
      </c>
      <c r="B7" t="s">
        <v>59</v>
      </c>
      <c r="C7" t="s">
        <v>60</v>
      </c>
      <c r="D7" t="s">
        <v>61</v>
      </c>
      <c r="E7" t="s">
        <v>32</v>
      </c>
      <c r="F7" t="s">
        <v>33</v>
      </c>
      <c r="G7" s="1">
        <v>46211.362002314818</v>
      </c>
      <c r="H7" s="1">
        <v>46211.376516203702</v>
      </c>
      <c r="I7" s="1">
        <v>46211.376319444447</v>
      </c>
      <c r="J7">
        <v>50</v>
      </c>
      <c r="K7">
        <v>0</v>
      </c>
      <c r="L7">
        <v>0</v>
      </c>
      <c r="M7">
        <v>0</v>
      </c>
      <c r="N7">
        <v>0</v>
      </c>
      <c r="O7" t="s">
        <v>34</v>
      </c>
      <c r="P7" t="b">
        <v>0</v>
      </c>
      <c r="Q7" t="b">
        <v>0</v>
      </c>
      <c r="R7" t="b">
        <v>0</v>
      </c>
      <c r="S7" t="s">
        <v>35</v>
      </c>
      <c r="T7">
        <v>68</v>
      </c>
      <c r="U7">
        <v>68</v>
      </c>
      <c r="V7">
        <v>68</v>
      </c>
      <c r="W7">
        <v>2026</v>
      </c>
      <c r="X7" t="s">
        <v>54</v>
      </c>
      <c r="Y7">
        <v>2026</v>
      </c>
      <c r="Z7">
        <v>0.05</v>
      </c>
      <c r="AA7" t="s">
        <v>37</v>
      </c>
      <c r="AB7" t="s">
        <v>38</v>
      </c>
      <c r="AC7" t="s">
        <v>39</v>
      </c>
      <c r="AD7">
        <v>0</v>
      </c>
      <c r="AE7" s="14" t="s">
        <v>832</v>
      </c>
    </row>
    <row r="8" spans="1:31" x14ac:dyDescent="0.3">
      <c r="A8">
        <v>1292028821</v>
      </c>
      <c r="B8" t="s">
        <v>62</v>
      </c>
      <c r="C8" t="s">
        <v>63</v>
      </c>
      <c r="D8" t="s">
        <v>64</v>
      </c>
      <c r="E8" t="s">
        <v>65</v>
      </c>
      <c r="F8" t="s">
        <v>33</v>
      </c>
      <c r="G8" s="1">
        <v>46210.366122685184</v>
      </c>
      <c r="H8" s="1">
        <v>46210.41138888889</v>
      </c>
      <c r="I8" s="1">
        <v>46210.37300925926</v>
      </c>
      <c r="J8">
        <v>6</v>
      </c>
      <c r="K8">
        <v>0</v>
      </c>
      <c r="L8">
        <v>0</v>
      </c>
      <c r="M8">
        <v>0</v>
      </c>
      <c r="N8">
        <v>0</v>
      </c>
      <c r="O8" t="s">
        <v>34</v>
      </c>
      <c r="P8" t="b">
        <v>0</v>
      </c>
      <c r="Q8" t="b">
        <v>0</v>
      </c>
      <c r="R8" t="b">
        <v>0</v>
      </c>
      <c r="S8" t="s">
        <v>35</v>
      </c>
      <c r="T8">
        <v>69</v>
      </c>
      <c r="U8">
        <v>69</v>
      </c>
      <c r="V8">
        <v>69</v>
      </c>
      <c r="W8">
        <v>2026</v>
      </c>
      <c r="X8" t="s">
        <v>54</v>
      </c>
      <c r="Y8">
        <v>2026</v>
      </c>
      <c r="Z8">
        <v>0.01</v>
      </c>
      <c r="AA8" t="s">
        <v>37</v>
      </c>
      <c r="AB8" t="s">
        <v>48</v>
      </c>
      <c r="AC8" t="s">
        <v>39</v>
      </c>
      <c r="AD8">
        <v>0</v>
      </c>
      <c r="AE8" s="14" t="s">
        <v>832</v>
      </c>
    </row>
    <row r="9" spans="1:31" x14ac:dyDescent="0.3">
      <c r="A9">
        <v>1292104220</v>
      </c>
      <c r="B9" t="s">
        <v>66</v>
      </c>
      <c r="C9" t="s">
        <v>67</v>
      </c>
      <c r="D9" t="s">
        <v>68</v>
      </c>
      <c r="E9" t="s">
        <v>69</v>
      </c>
      <c r="F9" t="s">
        <v>33</v>
      </c>
      <c r="G9" s="1">
        <v>46210.407708333332</v>
      </c>
      <c r="H9" s="1">
        <v>46210.409305555557</v>
      </c>
      <c r="I9" s="1">
        <v>46210.409259259257</v>
      </c>
      <c r="J9">
        <v>4</v>
      </c>
      <c r="K9">
        <v>0</v>
      </c>
      <c r="L9">
        <v>0</v>
      </c>
      <c r="M9">
        <v>0</v>
      </c>
      <c r="N9">
        <v>0</v>
      </c>
      <c r="O9" t="s">
        <v>34</v>
      </c>
      <c r="P9" t="b">
        <v>0</v>
      </c>
      <c r="Q9" t="b">
        <v>0</v>
      </c>
      <c r="R9" t="b">
        <v>0</v>
      </c>
      <c r="S9" t="s">
        <v>35</v>
      </c>
      <c r="T9">
        <v>69</v>
      </c>
      <c r="U9">
        <v>69</v>
      </c>
      <c r="V9">
        <v>69</v>
      </c>
      <c r="W9">
        <v>2026</v>
      </c>
      <c r="X9" t="s">
        <v>54</v>
      </c>
      <c r="Y9">
        <v>2026</v>
      </c>
      <c r="Z9">
        <v>0</v>
      </c>
      <c r="AA9" t="s">
        <v>37</v>
      </c>
      <c r="AB9" t="s">
        <v>48</v>
      </c>
      <c r="AC9" t="s">
        <v>39</v>
      </c>
      <c r="AD9">
        <v>0</v>
      </c>
      <c r="AE9" s="14" t="s">
        <v>832</v>
      </c>
    </row>
    <row r="10" spans="1:31" x14ac:dyDescent="0.3">
      <c r="A10">
        <v>1292098661</v>
      </c>
      <c r="B10" t="s">
        <v>70</v>
      </c>
      <c r="C10" t="s">
        <v>71</v>
      </c>
      <c r="D10" t="s">
        <v>72</v>
      </c>
      <c r="E10" t="s">
        <v>73</v>
      </c>
      <c r="F10" t="s">
        <v>33</v>
      </c>
      <c r="G10" s="1">
        <v>46210.404988425929</v>
      </c>
      <c r="H10" s="1">
        <v>46210.405787037038</v>
      </c>
      <c r="I10" s="1">
        <v>46210.405729166669</v>
      </c>
      <c r="J10">
        <v>4</v>
      </c>
      <c r="K10">
        <v>0</v>
      </c>
      <c r="L10">
        <v>0</v>
      </c>
      <c r="M10">
        <v>0</v>
      </c>
      <c r="N10">
        <v>0</v>
      </c>
      <c r="O10" t="s">
        <v>34</v>
      </c>
      <c r="P10" t="b">
        <v>0</v>
      </c>
      <c r="Q10" t="b">
        <v>0</v>
      </c>
      <c r="R10" t="b">
        <v>0</v>
      </c>
      <c r="S10" t="s">
        <v>35</v>
      </c>
      <c r="T10">
        <v>69</v>
      </c>
      <c r="U10">
        <v>69</v>
      </c>
      <c r="V10">
        <v>69</v>
      </c>
      <c r="W10">
        <v>2026</v>
      </c>
      <c r="X10" t="s">
        <v>54</v>
      </c>
      <c r="Y10">
        <v>2026</v>
      </c>
      <c r="Z10">
        <v>0</v>
      </c>
      <c r="AA10" t="s">
        <v>37</v>
      </c>
      <c r="AB10" t="s">
        <v>48</v>
      </c>
      <c r="AC10" t="s">
        <v>39</v>
      </c>
      <c r="AD10">
        <v>0</v>
      </c>
      <c r="AE10" s="14" t="s">
        <v>832</v>
      </c>
    </row>
    <row r="11" spans="1:31" x14ac:dyDescent="0.3">
      <c r="A11">
        <v>1292084299</v>
      </c>
      <c r="B11" t="s">
        <v>74</v>
      </c>
      <c r="C11" t="s">
        <v>75</v>
      </c>
      <c r="D11" t="s">
        <v>76</v>
      </c>
      <c r="E11" t="s">
        <v>77</v>
      </c>
      <c r="F11" t="s">
        <v>33</v>
      </c>
      <c r="G11" s="1">
        <v>46210.397719907407</v>
      </c>
      <c r="H11" s="1">
        <v>46210.401747685188</v>
      </c>
      <c r="I11" s="1">
        <v>46210.401689814818</v>
      </c>
      <c r="J11">
        <v>4</v>
      </c>
      <c r="K11">
        <v>0</v>
      </c>
      <c r="L11">
        <v>0</v>
      </c>
      <c r="M11">
        <v>0</v>
      </c>
      <c r="N11">
        <v>0</v>
      </c>
      <c r="O11" t="s">
        <v>34</v>
      </c>
      <c r="P11" t="b">
        <v>0</v>
      </c>
      <c r="Q11" t="b">
        <v>0</v>
      </c>
      <c r="R11" t="b">
        <v>0</v>
      </c>
      <c r="S11" t="s">
        <v>35</v>
      </c>
      <c r="T11">
        <v>69</v>
      </c>
      <c r="U11">
        <v>69</v>
      </c>
      <c r="V11">
        <v>69</v>
      </c>
      <c r="W11">
        <v>2026</v>
      </c>
      <c r="X11" t="s">
        <v>54</v>
      </c>
      <c r="Y11">
        <v>2026</v>
      </c>
      <c r="Z11">
        <v>0</v>
      </c>
      <c r="AA11" t="s">
        <v>37</v>
      </c>
      <c r="AB11" t="s">
        <v>48</v>
      </c>
      <c r="AC11" t="s">
        <v>39</v>
      </c>
      <c r="AD11">
        <v>0</v>
      </c>
      <c r="AE11" s="14" t="s">
        <v>832</v>
      </c>
    </row>
    <row r="12" spans="1:31" x14ac:dyDescent="0.3">
      <c r="A12">
        <v>1292080212</v>
      </c>
      <c r="B12" t="s">
        <v>78</v>
      </c>
      <c r="C12" t="s">
        <v>79</v>
      </c>
      <c r="D12" t="s">
        <v>80</v>
      </c>
      <c r="E12" t="s">
        <v>81</v>
      </c>
      <c r="F12" t="s">
        <v>33</v>
      </c>
      <c r="G12" s="1">
        <v>46210.395115740743</v>
      </c>
      <c r="H12" s="1">
        <v>46210.396180555559</v>
      </c>
      <c r="I12" s="1">
        <v>46210.39607638889</v>
      </c>
      <c r="J12">
        <v>4</v>
      </c>
      <c r="K12">
        <v>0</v>
      </c>
      <c r="L12">
        <v>0</v>
      </c>
      <c r="M12">
        <v>0</v>
      </c>
      <c r="N12">
        <v>0</v>
      </c>
      <c r="O12" t="s">
        <v>34</v>
      </c>
      <c r="P12" t="b">
        <v>0</v>
      </c>
      <c r="Q12" t="b">
        <v>0</v>
      </c>
      <c r="R12" t="b">
        <v>0</v>
      </c>
      <c r="S12" t="s">
        <v>35</v>
      </c>
      <c r="T12">
        <v>69</v>
      </c>
      <c r="U12">
        <v>69</v>
      </c>
      <c r="V12">
        <v>69</v>
      </c>
      <c r="W12">
        <v>2026</v>
      </c>
      <c r="X12" t="s">
        <v>54</v>
      </c>
      <c r="Y12">
        <v>2026</v>
      </c>
      <c r="Z12">
        <v>0</v>
      </c>
      <c r="AA12" t="s">
        <v>37</v>
      </c>
      <c r="AB12" t="s">
        <v>48</v>
      </c>
      <c r="AC12" t="s">
        <v>39</v>
      </c>
      <c r="AD12">
        <v>0</v>
      </c>
      <c r="AE12" s="14" t="s">
        <v>832</v>
      </c>
    </row>
    <row r="13" spans="1:31" x14ac:dyDescent="0.3">
      <c r="A13">
        <v>1292074059</v>
      </c>
      <c r="B13" t="s">
        <v>82</v>
      </c>
      <c r="C13" t="s">
        <v>83</v>
      </c>
      <c r="D13" t="s">
        <v>84</v>
      </c>
      <c r="E13" t="s">
        <v>85</v>
      </c>
      <c r="F13" t="s">
        <v>33</v>
      </c>
      <c r="G13" s="1">
        <v>46210.390983796293</v>
      </c>
      <c r="H13" s="1">
        <v>46210.391909722224</v>
      </c>
      <c r="I13" s="1">
        <v>46210.391863425924</v>
      </c>
      <c r="J13">
        <v>4</v>
      </c>
      <c r="K13">
        <v>0</v>
      </c>
      <c r="L13">
        <v>0</v>
      </c>
      <c r="M13">
        <v>0</v>
      </c>
      <c r="N13">
        <v>0</v>
      </c>
      <c r="O13" t="s">
        <v>34</v>
      </c>
      <c r="P13" t="b">
        <v>0</v>
      </c>
      <c r="Q13" t="b">
        <v>0</v>
      </c>
      <c r="R13" t="b">
        <v>0</v>
      </c>
      <c r="S13" t="s">
        <v>35</v>
      </c>
      <c r="T13">
        <v>69</v>
      </c>
      <c r="U13">
        <v>69</v>
      </c>
      <c r="V13">
        <v>69</v>
      </c>
      <c r="W13">
        <v>2026</v>
      </c>
      <c r="X13" t="s">
        <v>54</v>
      </c>
      <c r="Y13">
        <v>2026</v>
      </c>
      <c r="Z13">
        <v>0</v>
      </c>
      <c r="AA13" t="s">
        <v>37</v>
      </c>
      <c r="AB13" t="s">
        <v>48</v>
      </c>
      <c r="AC13" t="s">
        <v>39</v>
      </c>
      <c r="AD13">
        <v>0</v>
      </c>
      <c r="AE13" s="14" t="s">
        <v>832</v>
      </c>
    </row>
    <row r="14" spans="1:31" x14ac:dyDescent="0.3">
      <c r="A14">
        <v>1292066761</v>
      </c>
      <c r="B14" t="s">
        <v>86</v>
      </c>
      <c r="C14" t="s">
        <v>87</v>
      </c>
      <c r="D14" t="s">
        <v>88</v>
      </c>
      <c r="E14" t="s">
        <v>89</v>
      </c>
      <c r="F14" t="s">
        <v>33</v>
      </c>
      <c r="G14" s="1">
        <v>46210.386122685188</v>
      </c>
      <c r="H14" s="1">
        <v>46210.388067129628</v>
      </c>
      <c r="I14" s="1">
        <v>46210.388009259259</v>
      </c>
      <c r="J14">
        <v>4</v>
      </c>
      <c r="K14">
        <v>0</v>
      </c>
      <c r="L14">
        <v>0</v>
      </c>
      <c r="M14">
        <v>0</v>
      </c>
      <c r="N14">
        <v>0</v>
      </c>
      <c r="O14" t="s">
        <v>34</v>
      </c>
      <c r="P14" t="b">
        <v>0</v>
      </c>
      <c r="Q14" t="b">
        <v>0</v>
      </c>
      <c r="R14" t="b">
        <v>0</v>
      </c>
      <c r="S14" t="s">
        <v>35</v>
      </c>
      <c r="T14">
        <v>69</v>
      </c>
      <c r="U14">
        <v>69</v>
      </c>
      <c r="V14">
        <v>69</v>
      </c>
      <c r="W14">
        <v>2026</v>
      </c>
      <c r="X14" t="s">
        <v>54</v>
      </c>
      <c r="Y14">
        <v>2026</v>
      </c>
      <c r="Z14">
        <v>0</v>
      </c>
      <c r="AA14" t="s">
        <v>37</v>
      </c>
      <c r="AB14" t="s">
        <v>48</v>
      </c>
      <c r="AC14" t="s">
        <v>39</v>
      </c>
      <c r="AD14">
        <v>0</v>
      </c>
      <c r="AE14" s="14" t="s">
        <v>832</v>
      </c>
    </row>
    <row r="15" spans="1:31" x14ac:dyDescent="0.3">
      <c r="A15">
        <v>1292056401</v>
      </c>
      <c r="B15" t="s">
        <v>90</v>
      </c>
      <c r="C15" t="s">
        <v>91</v>
      </c>
      <c r="D15" t="s">
        <v>92</v>
      </c>
      <c r="E15" t="s">
        <v>93</v>
      </c>
      <c r="F15" t="s">
        <v>33</v>
      </c>
      <c r="G15" s="1">
        <v>46210.379895833335</v>
      </c>
      <c r="H15" s="1">
        <v>46210.382395833331</v>
      </c>
      <c r="I15" s="1">
        <v>46210.382222222222</v>
      </c>
      <c r="J15">
        <v>5</v>
      </c>
      <c r="K15">
        <v>0</v>
      </c>
      <c r="L15">
        <v>0</v>
      </c>
      <c r="M15">
        <v>0</v>
      </c>
      <c r="N15">
        <v>0</v>
      </c>
      <c r="O15" t="s">
        <v>34</v>
      </c>
      <c r="P15" t="b">
        <v>0</v>
      </c>
      <c r="Q15" t="b">
        <v>0</v>
      </c>
      <c r="R15" t="b">
        <v>0</v>
      </c>
      <c r="S15" t="s">
        <v>35</v>
      </c>
      <c r="T15">
        <v>69</v>
      </c>
      <c r="U15">
        <v>69</v>
      </c>
      <c r="V15">
        <v>69</v>
      </c>
      <c r="W15">
        <v>2026</v>
      </c>
      <c r="X15" t="s">
        <v>54</v>
      </c>
      <c r="Y15">
        <v>2026</v>
      </c>
      <c r="Z15">
        <v>0</v>
      </c>
      <c r="AA15" t="s">
        <v>37</v>
      </c>
      <c r="AB15" t="s">
        <v>48</v>
      </c>
      <c r="AC15" t="s">
        <v>39</v>
      </c>
      <c r="AD15">
        <v>0</v>
      </c>
      <c r="AE15" s="14" t="s">
        <v>832</v>
      </c>
    </row>
    <row r="16" spans="1:31" x14ac:dyDescent="0.3">
      <c r="A16">
        <v>929356262</v>
      </c>
      <c r="B16" t="s">
        <v>94</v>
      </c>
      <c r="C16" t="s">
        <v>95</v>
      </c>
      <c r="D16" t="s">
        <v>96</v>
      </c>
      <c r="E16" t="s">
        <v>97</v>
      </c>
      <c r="F16" t="s">
        <v>53</v>
      </c>
      <c r="G16" s="1">
        <v>45696.460821759261</v>
      </c>
      <c r="H16" s="1">
        <v>45696.460821759261</v>
      </c>
      <c r="I16" s="1">
        <v>45678.263252314813</v>
      </c>
      <c r="J16">
        <v>497</v>
      </c>
      <c r="K16">
        <v>0</v>
      </c>
      <c r="L16">
        <v>0</v>
      </c>
      <c r="M16">
        <v>0</v>
      </c>
      <c r="N16">
        <v>0</v>
      </c>
      <c r="O16" t="s">
        <v>34</v>
      </c>
      <c r="P16" t="b">
        <v>1</v>
      </c>
      <c r="Q16" t="b">
        <v>0</v>
      </c>
      <c r="R16" t="b">
        <v>0</v>
      </c>
      <c r="S16" t="s">
        <v>35</v>
      </c>
      <c r="T16">
        <v>583</v>
      </c>
      <c r="U16">
        <v>583</v>
      </c>
      <c r="V16">
        <v>601</v>
      </c>
      <c r="W16">
        <v>2025</v>
      </c>
      <c r="X16" t="s">
        <v>98</v>
      </c>
      <c r="Y16">
        <v>2025</v>
      </c>
      <c r="Z16">
        <v>0.49</v>
      </c>
      <c r="AA16" t="s">
        <v>99</v>
      </c>
      <c r="AB16" t="s">
        <v>48</v>
      </c>
      <c r="AC16" t="s">
        <v>100</v>
      </c>
      <c r="AD16">
        <v>0</v>
      </c>
      <c r="AE16" s="14" t="s">
        <v>832</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E06C2E-7C4A-4424-BB02-BD009F6E26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Analysis</vt:lpstr>
      <vt:lpstr>Top Repositories</vt:lpstr>
      <vt:lpstr>My Repositories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PANCHAL</dc:creator>
  <cp:lastModifiedBy>SAKSHI PANCHAL</cp:lastModifiedBy>
  <cp:lastPrinted>2026-09-09T09:57:45Z</cp:lastPrinted>
  <dcterms:created xsi:type="dcterms:W3CDTF">2026-09-09T07:47:23Z</dcterms:created>
  <dcterms:modified xsi:type="dcterms:W3CDTF">2026-09-16T07:10:30Z</dcterms:modified>
</cp:coreProperties>
</file>